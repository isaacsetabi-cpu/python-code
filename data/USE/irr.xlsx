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8_{0B16EAB8-8178-4A73-8D26-171245117F79}" xr6:coauthVersionLast="41" xr6:coauthVersionMax="41" xr10:uidLastSave="{00000000-0000-0000-0000-000000000000}"/>
  <bookViews>
    <workbookView xWindow="-120" yWindow="480" windowWidth="20730" windowHeight="11160" xr2:uid="{7B75F832-A5A5-4DAD-9A8B-F2A2D0E22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B20" i="1"/>
  <c r="E19" i="1"/>
  <c r="D19" i="1"/>
  <c r="D20" i="1"/>
  <c r="E20" i="1" s="1"/>
  <c r="B19" i="1"/>
  <c r="E18" i="1"/>
  <c r="D18" i="1"/>
  <c r="B2" i="1"/>
  <c r="B3" i="1"/>
  <c r="B21" i="1" l="1"/>
  <c r="D21" i="1" l="1"/>
  <c r="E21" i="1" s="1"/>
  <c r="B22" i="1" s="1"/>
  <c r="D22" i="1" l="1"/>
  <c r="E22" i="1" s="1"/>
</calcChain>
</file>

<file path=xl/sharedStrings.xml><?xml version="1.0" encoding="utf-8"?>
<sst xmlns="http://schemas.openxmlformats.org/spreadsheetml/2006/main" count="8" uniqueCount="7">
  <si>
    <t>loan tabel</t>
  </si>
  <si>
    <t>year</t>
  </si>
  <si>
    <t xml:space="preserve">principal </t>
  </si>
  <si>
    <t>at beginning</t>
  </si>
  <si>
    <t>of year</t>
  </si>
  <si>
    <t>payment</t>
  </si>
  <si>
    <t>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</si>
</sst>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USh&quot;#,##0.00;[Red]\-&quot;USh&quot;#,##0.00"/>
    <numFmt numFmtId="171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7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299F-FE6E-4A29-B3D2-0329CA6598F3}">
  <dimension ref="A1:E23"/>
  <sheetViews>
    <sheetView tabSelected="1" workbookViewId="0">
      <selection activeCell="B18" sqref="B18"/>
    </sheetView>
  </sheetViews>
  <sheetFormatPr defaultRowHeight="15" x14ac:dyDescent="0.25"/>
  <cols>
    <col min="2" max="2" width="12.5703125" bestFit="1" customWidth="1"/>
  </cols>
  <sheetData>
    <row r="1" spans="1:3" x14ac:dyDescent="0.25">
      <c r="B1">
        <v>0.1</v>
      </c>
    </row>
    <row r="2" spans="1:3" x14ac:dyDescent="0.25">
      <c r="B2" s="2">
        <f>IRR(A4:A9)</f>
        <v>7.9308261160397242E-2</v>
      </c>
    </row>
    <row r="3" spans="1:3" x14ac:dyDescent="0.25">
      <c r="B3" s="1">
        <f>NPV(B1,A5:A9)</f>
        <v>379.07867694084473</v>
      </c>
    </row>
    <row r="4" spans="1:3" x14ac:dyDescent="0.25">
      <c r="A4">
        <v>-400</v>
      </c>
    </row>
    <row r="5" spans="1:3" x14ac:dyDescent="0.25">
      <c r="A5">
        <v>100</v>
      </c>
    </row>
    <row r="6" spans="1:3" x14ac:dyDescent="0.25">
      <c r="A6">
        <v>100</v>
      </c>
    </row>
    <row r="7" spans="1:3" x14ac:dyDescent="0.25">
      <c r="A7">
        <v>100</v>
      </c>
    </row>
    <row r="8" spans="1:3" x14ac:dyDescent="0.25">
      <c r="A8">
        <v>100</v>
      </c>
    </row>
    <row r="9" spans="1:3" x14ac:dyDescent="0.25">
      <c r="A9">
        <v>100</v>
      </c>
    </row>
    <row r="13" spans="1:3" x14ac:dyDescent="0.25">
      <c r="A13" t="s">
        <v>0</v>
      </c>
    </row>
    <row r="15" spans="1:3" x14ac:dyDescent="0.25">
      <c r="B15" t="s">
        <v>2</v>
      </c>
      <c r="C15" t="s">
        <v>5</v>
      </c>
    </row>
    <row r="16" spans="1:3" x14ac:dyDescent="0.25">
      <c r="B16" t="s">
        <v>3</v>
      </c>
      <c r="C16" t="s">
        <v>6</v>
      </c>
    </row>
    <row r="17" spans="1:5" x14ac:dyDescent="0.25">
      <c r="A17" t="s">
        <v>1</v>
      </c>
      <c r="B17" t="s">
        <v>4</v>
      </c>
      <c r="C17" t="s">
        <v>4</v>
      </c>
    </row>
    <row r="18" spans="1:5" x14ac:dyDescent="0.25">
      <c r="A18">
        <v>1</v>
      </c>
      <c r="B18">
        <v>400</v>
      </c>
      <c r="C18">
        <v>100</v>
      </c>
      <c r="D18" s="3">
        <f>$B$2*B18</f>
        <v>31.723304464158897</v>
      </c>
      <c r="E18" s="3">
        <f>C18-D18</f>
        <v>68.2766955358411</v>
      </c>
    </row>
    <row r="19" spans="1:5" x14ac:dyDescent="0.25">
      <c r="A19">
        <v>2</v>
      </c>
      <c r="B19" s="3">
        <f>B18-E18</f>
        <v>331.7233044641589</v>
      </c>
      <c r="C19">
        <v>100</v>
      </c>
      <c r="D19" s="3">
        <f t="shared" ref="D19:D23" si="0">$B$2*B19</f>
        <v>26.308398463433484</v>
      </c>
      <c r="E19" s="3">
        <f t="shared" ref="E19:E23" si="1">C19-D19</f>
        <v>73.691601536566509</v>
      </c>
    </row>
    <row r="20" spans="1:5" x14ac:dyDescent="0.25">
      <c r="A20">
        <v>3</v>
      </c>
      <c r="B20" s="3">
        <f t="shared" ref="B20:B23" si="2">B19-E19</f>
        <v>258.03170292759239</v>
      </c>
      <c r="C20">
        <v>100</v>
      </c>
      <c r="D20" s="3">
        <f t="shared" si="0"/>
        <v>20.464045683443533</v>
      </c>
      <c r="E20" s="3">
        <f t="shared" si="1"/>
        <v>79.53595431655647</v>
      </c>
    </row>
    <row r="21" spans="1:5" x14ac:dyDescent="0.25">
      <c r="A21">
        <v>4</v>
      </c>
      <c r="B21" s="3">
        <f t="shared" si="2"/>
        <v>178.49574861103594</v>
      </c>
      <c r="C21">
        <v>100</v>
      </c>
      <c r="D21" s="3">
        <f t="shared" si="0"/>
        <v>14.156187446864651</v>
      </c>
      <c r="E21" s="3">
        <f t="shared" si="1"/>
        <v>85.843812553135351</v>
      </c>
    </row>
    <row r="22" spans="1:5" x14ac:dyDescent="0.25">
      <c r="A22">
        <v>5</v>
      </c>
      <c r="B22" s="3">
        <f t="shared" si="2"/>
        <v>92.651936057900585</v>
      </c>
      <c r="C22">
        <v>100</v>
      </c>
      <c r="D22" s="3">
        <f t="shared" si="0"/>
        <v>7.348063941896406</v>
      </c>
      <c r="E22" s="3">
        <f t="shared" si="1"/>
        <v>92.651936058103587</v>
      </c>
    </row>
    <row r="23" spans="1:5" x14ac:dyDescent="0.25">
      <c r="B23" s="3"/>
      <c r="D23" s="3"/>
      <c r="E23" s="3">
        <f>SUM(E18:E22)</f>
        <v>400.00000000020304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2022-10-11T16:05:39Z</dcterms:created>
  <dcterms:modified xsi:type="dcterms:W3CDTF">2022-10-12T05:24:14Z</dcterms:modified>
</cp:coreProperties>
</file>