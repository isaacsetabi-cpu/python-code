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13_ncr:1_{B2B67FD8-99DE-48FF-B9DD-55FFF4160ABF}" xr6:coauthVersionLast="41" xr6:coauthVersionMax="41" xr10:uidLastSave="{00000000-0000-0000-0000-000000000000}"/>
  <bookViews>
    <workbookView xWindow="-120" yWindow="-120" windowWidth="20730" windowHeight="11160" xr2:uid="{200532BB-95C4-477C-9D78-AE5112E62D7A}"/>
  </bookViews>
  <sheets>
    <sheet name="Dairy Prices" sheetId="1" r:id="rId1"/>
    <sheet name="Market Ca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3" i="2"/>
  <c r="L2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23" i="2"/>
  <c r="J22" i="2"/>
  <c r="J21" i="2"/>
  <c r="J20" i="2"/>
  <c r="J19" i="2"/>
  <c r="J18" i="2"/>
  <c r="J14" i="2"/>
  <c r="J13" i="2"/>
  <c r="J12" i="2"/>
  <c r="J11" i="2"/>
  <c r="J10" i="2"/>
  <c r="J9" i="2"/>
  <c r="J8" i="2"/>
  <c r="J7" i="2"/>
  <c r="J6" i="2"/>
  <c r="J5" i="2"/>
  <c r="J4" i="2"/>
  <c r="J17" i="2"/>
  <c r="J15" i="2"/>
  <c r="J16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23" i="2"/>
  <c r="D22" i="2"/>
  <c r="D21" i="2"/>
  <c r="D20" i="2"/>
  <c r="D19" i="2"/>
  <c r="D18" i="2"/>
  <c r="D17" i="2"/>
  <c r="D16" i="2"/>
  <c r="D14" i="2"/>
  <c r="D15" i="2"/>
  <c r="D13" i="2"/>
  <c r="D12" i="2"/>
  <c r="D11" i="2"/>
  <c r="D10" i="2"/>
  <c r="D9" i="2"/>
  <c r="D8" i="2"/>
  <c r="D7" i="2"/>
  <c r="D6" i="2"/>
  <c r="D5" i="2"/>
  <c r="D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" i="2"/>
  <c r="E3" i="2"/>
  <c r="F3" i="2"/>
  <c r="G3" i="2"/>
  <c r="H3" i="2"/>
  <c r="I3" i="2"/>
  <c r="J3" i="2"/>
  <c r="K3" i="2"/>
  <c r="C3" i="2"/>
</calcChain>
</file>

<file path=xl/sharedStrings.xml><?xml version="1.0" encoding="utf-8"?>
<sst xmlns="http://schemas.openxmlformats.org/spreadsheetml/2006/main" count="27" uniqueCount="16">
  <si>
    <t>DATE</t>
  </si>
  <si>
    <t>SBU</t>
  </si>
  <si>
    <t>UMEME</t>
  </si>
  <si>
    <t>DFCU</t>
  </si>
  <si>
    <t>MTNU</t>
  </si>
  <si>
    <t>BOBU</t>
  </si>
  <si>
    <t>UCL</t>
  </si>
  <si>
    <t>NIC</t>
  </si>
  <si>
    <t>NVL</t>
  </si>
  <si>
    <t>CIPLA</t>
  </si>
  <si>
    <t>BATU</t>
  </si>
  <si>
    <t>outstanding</t>
  </si>
  <si>
    <t>Total Market</t>
  </si>
  <si>
    <t>news</t>
  </si>
  <si>
    <t>house passes electricity bill ending umeme monopoly</t>
  </si>
  <si>
    <t>umeme proposed div 54.1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</si>
</sst>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41" fontId="0" fillId="0" borderId="0" xfId="0" applyNumberFormat="1"/>
    <xf numFmtId="41" fontId="1" fillId="0" borderId="0" xfId="1" applyFont="1"/>
    <xf numFmtId="4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Font="1" applyAlignment="1">
      <alignment horizontal="center"/>
    </xf>
    <xf numFmtId="41" fontId="2" fillId="0" borderId="0" xfId="1" applyFont="1"/>
    <xf numFmtId="0" fontId="0" fillId="0" borderId="0" xfId="0" applyFont="1"/>
    <xf numFmtId="16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314325</xdr:colOff>
      <xdr:row>1</xdr:row>
      <xdr:rowOff>63816</xdr:rowOff>
    </xdr:from>
    <xdr:to>
      <xdr:col>18</xdr:col>
      <xdr:colOff>265073</xdr:colOff>
      <xdr:row>21</xdr:row>
      <xdr:rowOff>151485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10061-155E-4A18-A227-2C2212BE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4700" y="254316"/>
          <a:ext cx="6932573" cy="3897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9C97-680E-4715-B49D-397F3ACA00E8}">
  <dimension ref="A1:L72"/>
  <sheetViews>
    <sheetView tabSelected="1"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B67" sqref="B67"/>
    </sheetView>
  </sheetViews>
  <sheetFormatPr defaultRowHeight="15" x14ac:dyDescent="0.25"/>
  <cols>
    <col min="1" max="1" width="10.7109375" bestFit="1" customWidth="1"/>
    <col min="12" max="12" width="49.8554687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</row>
    <row r="2" spans="1:12" x14ac:dyDescent="0.25">
      <c r="A2" s="1">
        <v>44578</v>
      </c>
      <c r="B2">
        <v>25</v>
      </c>
      <c r="C2">
        <v>189</v>
      </c>
      <c r="D2">
        <v>565</v>
      </c>
      <c r="E2">
        <v>185</v>
      </c>
      <c r="F2">
        <v>95</v>
      </c>
      <c r="G2">
        <v>13</v>
      </c>
      <c r="H2">
        <v>5.0999999999999996</v>
      </c>
      <c r="I2">
        <v>165</v>
      </c>
      <c r="J2">
        <v>92</v>
      </c>
      <c r="K2">
        <v>30000</v>
      </c>
    </row>
    <row r="3" spans="1:12" x14ac:dyDescent="0.25">
      <c r="A3" s="1">
        <v>44579</v>
      </c>
      <c r="B3">
        <v>25</v>
      </c>
      <c r="C3">
        <v>189</v>
      </c>
      <c r="D3">
        <v>565</v>
      </c>
      <c r="E3">
        <v>185</v>
      </c>
      <c r="F3">
        <v>95</v>
      </c>
      <c r="G3">
        <v>13</v>
      </c>
      <c r="H3">
        <v>5.0999999999999996</v>
      </c>
      <c r="I3">
        <v>165</v>
      </c>
      <c r="J3">
        <v>92</v>
      </c>
      <c r="K3">
        <v>30000</v>
      </c>
    </row>
    <row r="4" spans="1:12" x14ac:dyDescent="0.25">
      <c r="A4" s="1">
        <v>44580</v>
      </c>
      <c r="B4">
        <v>26</v>
      </c>
      <c r="C4">
        <v>189</v>
      </c>
      <c r="D4">
        <v>580</v>
      </c>
      <c r="E4">
        <v>183</v>
      </c>
      <c r="F4">
        <v>95</v>
      </c>
      <c r="G4">
        <v>13</v>
      </c>
      <c r="H4">
        <v>5.0999999999999996</v>
      </c>
      <c r="I4">
        <v>165</v>
      </c>
      <c r="J4">
        <v>92</v>
      </c>
      <c r="K4">
        <v>30000</v>
      </c>
    </row>
    <row r="5" spans="1:12" x14ac:dyDescent="0.25">
      <c r="A5" s="1">
        <v>44581</v>
      </c>
      <c r="B5">
        <v>28</v>
      </c>
      <c r="C5">
        <v>189</v>
      </c>
      <c r="D5">
        <v>565</v>
      </c>
      <c r="E5">
        <v>180</v>
      </c>
      <c r="F5">
        <v>95</v>
      </c>
      <c r="G5">
        <v>13</v>
      </c>
      <c r="H5">
        <v>5.0999999999999996</v>
      </c>
      <c r="I5">
        <v>141</v>
      </c>
      <c r="J5">
        <v>92</v>
      </c>
      <c r="K5">
        <v>30000</v>
      </c>
    </row>
    <row r="6" spans="1:12" x14ac:dyDescent="0.25">
      <c r="A6" s="1">
        <v>44582</v>
      </c>
      <c r="B6">
        <v>27.99</v>
      </c>
      <c r="C6">
        <v>189</v>
      </c>
      <c r="D6">
        <v>564</v>
      </c>
      <c r="E6">
        <v>180</v>
      </c>
      <c r="F6">
        <v>95</v>
      </c>
      <c r="G6">
        <v>13</v>
      </c>
      <c r="H6">
        <v>5.0999999999999996</v>
      </c>
      <c r="I6">
        <v>114</v>
      </c>
      <c r="J6">
        <v>92</v>
      </c>
      <c r="K6">
        <v>30000</v>
      </c>
    </row>
    <row r="7" spans="1:12" x14ac:dyDescent="0.25">
      <c r="A7" s="1">
        <v>44585</v>
      </c>
      <c r="B7">
        <v>25</v>
      </c>
      <c r="C7">
        <v>189</v>
      </c>
      <c r="D7">
        <v>564</v>
      </c>
      <c r="E7">
        <v>180</v>
      </c>
      <c r="F7">
        <v>95</v>
      </c>
      <c r="G7">
        <v>13</v>
      </c>
      <c r="H7">
        <v>5.0999999999999996</v>
      </c>
      <c r="I7">
        <v>120</v>
      </c>
      <c r="J7">
        <v>92</v>
      </c>
      <c r="K7">
        <v>30000</v>
      </c>
    </row>
    <row r="8" spans="1:12" x14ac:dyDescent="0.25">
      <c r="A8" s="1">
        <v>44586</v>
      </c>
      <c r="B8">
        <v>25</v>
      </c>
      <c r="C8">
        <v>189</v>
      </c>
      <c r="D8">
        <v>564</v>
      </c>
      <c r="E8">
        <v>178</v>
      </c>
      <c r="F8">
        <v>95</v>
      </c>
      <c r="G8">
        <v>13</v>
      </c>
      <c r="H8">
        <v>5.0999999999999996</v>
      </c>
      <c r="I8">
        <v>141</v>
      </c>
      <c r="J8">
        <v>93.22</v>
      </c>
      <c r="K8">
        <v>30000</v>
      </c>
    </row>
    <row r="9" spans="1:12" x14ac:dyDescent="0.25">
      <c r="A9" s="1">
        <v>44588</v>
      </c>
      <c r="B9">
        <v>28</v>
      </c>
      <c r="C9">
        <v>189</v>
      </c>
      <c r="D9">
        <v>564</v>
      </c>
      <c r="E9">
        <v>179</v>
      </c>
      <c r="F9">
        <v>95</v>
      </c>
      <c r="G9">
        <v>14.9</v>
      </c>
      <c r="H9">
        <v>5.0999999999999996</v>
      </c>
      <c r="I9">
        <v>141</v>
      </c>
      <c r="J9">
        <v>93.22</v>
      </c>
      <c r="K9">
        <v>30000</v>
      </c>
    </row>
    <row r="10" spans="1:12" x14ac:dyDescent="0.25">
      <c r="A10" s="1">
        <v>44589</v>
      </c>
      <c r="B10">
        <v>25</v>
      </c>
      <c r="C10">
        <v>189</v>
      </c>
      <c r="D10">
        <v>564</v>
      </c>
      <c r="E10">
        <v>179</v>
      </c>
      <c r="F10">
        <v>95</v>
      </c>
      <c r="G10">
        <v>14.9</v>
      </c>
      <c r="H10">
        <v>5.0999999999999996</v>
      </c>
      <c r="I10">
        <v>120</v>
      </c>
      <c r="J10">
        <v>94</v>
      </c>
      <c r="K10">
        <v>30000</v>
      </c>
    </row>
    <row r="11" spans="1:12" x14ac:dyDescent="0.25">
      <c r="A11" s="1">
        <v>44592</v>
      </c>
      <c r="B11">
        <v>28</v>
      </c>
      <c r="C11">
        <v>189</v>
      </c>
      <c r="D11">
        <v>564</v>
      </c>
      <c r="E11">
        <v>178</v>
      </c>
      <c r="F11">
        <v>95</v>
      </c>
      <c r="G11">
        <v>15</v>
      </c>
      <c r="H11">
        <v>5.0999999999999996</v>
      </c>
      <c r="I11">
        <v>103</v>
      </c>
      <c r="J11">
        <v>94</v>
      </c>
      <c r="K11">
        <v>30000</v>
      </c>
    </row>
    <row r="12" spans="1:12" x14ac:dyDescent="0.25">
      <c r="A12" s="1">
        <v>44593</v>
      </c>
      <c r="B12">
        <v>28</v>
      </c>
      <c r="C12">
        <v>189</v>
      </c>
      <c r="D12">
        <v>564</v>
      </c>
      <c r="E12">
        <v>177</v>
      </c>
      <c r="F12">
        <v>95</v>
      </c>
      <c r="G12">
        <v>15</v>
      </c>
      <c r="H12">
        <v>5.0999999999999996</v>
      </c>
      <c r="I12">
        <v>103</v>
      </c>
      <c r="J12">
        <v>94</v>
      </c>
      <c r="K12">
        <v>30000</v>
      </c>
    </row>
    <row r="13" spans="1:12" x14ac:dyDescent="0.25">
      <c r="A13" s="1">
        <v>44594</v>
      </c>
      <c r="B13">
        <v>25</v>
      </c>
      <c r="C13">
        <v>189</v>
      </c>
      <c r="D13">
        <v>564</v>
      </c>
      <c r="E13">
        <v>179</v>
      </c>
      <c r="F13">
        <v>95</v>
      </c>
      <c r="G13">
        <v>15</v>
      </c>
      <c r="H13">
        <v>5.0999999999999996</v>
      </c>
      <c r="I13">
        <v>103</v>
      </c>
      <c r="J13">
        <v>94</v>
      </c>
      <c r="K13">
        <v>30000</v>
      </c>
    </row>
    <row r="14" spans="1:12" x14ac:dyDescent="0.25">
      <c r="A14" s="1">
        <v>44595</v>
      </c>
      <c r="B14">
        <v>25</v>
      </c>
      <c r="C14">
        <v>189</v>
      </c>
      <c r="D14">
        <v>555</v>
      </c>
      <c r="E14">
        <v>177</v>
      </c>
      <c r="F14">
        <v>95</v>
      </c>
      <c r="G14">
        <v>15</v>
      </c>
      <c r="H14">
        <v>5.0999999999999996</v>
      </c>
      <c r="I14">
        <v>103</v>
      </c>
      <c r="J14">
        <v>94</v>
      </c>
      <c r="K14">
        <v>30000</v>
      </c>
    </row>
    <row r="15" spans="1:12" x14ac:dyDescent="0.25">
      <c r="A15" s="1">
        <v>44596</v>
      </c>
      <c r="B15">
        <v>27.5</v>
      </c>
      <c r="C15">
        <v>180</v>
      </c>
      <c r="D15">
        <v>555</v>
      </c>
      <c r="E15">
        <v>184</v>
      </c>
      <c r="F15">
        <v>95</v>
      </c>
      <c r="G15">
        <v>15</v>
      </c>
      <c r="H15">
        <v>5.0999999999999996</v>
      </c>
      <c r="I15">
        <v>103</v>
      </c>
      <c r="J15">
        <v>94</v>
      </c>
      <c r="K15">
        <v>30000</v>
      </c>
    </row>
    <row r="16" spans="1:12" x14ac:dyDescent="0.25">
      <c r="A16" s="1">
        <v>44599</v>
      </c>
      <c r="B16">
        <v>28</v>
      </c>
      <c r="C16">
        <v>189</v>
      </c>
      <c r="D16">
        <v>564</v>
      </c>
      <c r="E16">
        <v>185</v>
      </c>
      <c r="F16">
        <v>95</v>
      </c>
      <c r="G16">
        <v>15</v>
      </c>
      <c r="H16">
        <v>5.0999999999999996</v>
      </c>
      <c r="I16">
        <v>90</v>
      </c>
      <c r="J16">
        <v>94</v>
      </c>
      <c r="K16">
        <v>30000</v>
      </c>
    </row>
    <row r="17" spans="1:11" x14ac:dyDescent="0.25">
      <c r="A17" s="1">
        <v>44600</v>
      </c>
      <c r="B17">
        <v>25</v>
      </c>
      <c r="C17">
        <v>182</v>
      </c>
      <c r="D17">
        <v>555</v>
      </c>
      <c r="E17">
        <v>187</v>
      </c>
      <c r="F17">
        <v>95</v>
      </c>
      <c r="G17">
        <v>19</v>
      </c>
      <c r="H17">
        <v>5.0999999999999996</v>
      </c>
      <c r="I17">
        <v>77</v>
      </c>
      <c r="J17">
        <v>94</v>
      </c>
      <c r="K17">
        <v>30000</v>
      </c>
    </row>
    <row r="18" spans="1:11" x14ac:dyDescent="0.25">
      <c r="A18" s="1">
        <v>44601</v>
      </c>
      <c r="B18">
        <v>27</v>
      </c>
      <c r="C18">
        <v>189</v>
      </c>
      <c r="D18">
        <v>555</v>
      </c>
      <c r="E18">
        <v>165</v>
      </c>
      <c r="F18">
        <v>95</v>
      </c>
      <c r="G18">
        <v>21</v>
      </c>
      <c r="H18">
        <v>5.0999999999999996</v>
      </c>
      <c r="I18">
        <v>66</v>
      </c>
      <c r="J18">
        <v>94</v>
      </c>
      <c r="K18">
        <v>30000</v>
      </c>
    </row>
    <row r="19" spans="1:11" x14ac:dyDescent="0.25">
      <c r="A19" s="1">
        <v>44602</v>
      </c>
      <c r="B19">
        <v>27</v>
      </c>
      <c r="C19">
        <v>188</v>
      </c>
      <c r="D19">
        <v>564</v>
      </c>
      <c r="E19">
        <v>165</v>
      </c>
      <c r="F19">
        <v>95</v>
      </c>
      <c r="G19">
        <v>24</v>
      </c>
      <c r="H19">
        <v>5.0999999999999996</v>
      </c>
      <c r="I19">
        <v>57</v>
      </c>
      <c r="J19">
        <v>95</v>
      </c>
      <c r="K19">
        <v>30000</v>
      </c>
    </row>
    <row r="20" spans="1:11" x14ac:dyDescent="0.25">
      <c r="A20" s="1">
        <v>44603</v>
      </c>
      <c r="B20">
        <v>27</v>
      </c>
      <c r="C20">
        <v>189</v>
      </c>
      <c r="D20">
        <v>564</v>
      </c>
      <c r="E20">
        <v>165</v>
      </c>
      <c r="F20">
        <v>94</v>
      </c>
      <c r="G20">
        <v>24</v>
      </c>
      <c r="H20">
        <v>5.0999999999999996</v>
      </c>
      <c r="I20">
        <v>57</v>
      </c>
      <c r="J20">
        <v>94</v>
      </c>
      <c r="K20">
        <v>30000</v>
      </c>
    </row>
    <row r="21" spans="1:11" x14ac:dyDescent="0.25">
      <c r="A21" s="1">
        <v>44606</v>
      </c>
      <c r="B21">
        <v>28</v>
      </c>
      <c r="C21">
        <v>189</v>
      </c>
      <c r="D21">
        <v>564</v>
      </c>
      <c r="E21">
        <v>164</v>
      </c>
      <c r="F21">
        <v>94</v>
      </c>
      <c r="G21">
        <v>24</v>
      </c>
      <c r="H21">
        <v>5.0999999999999996</v>
      </c>
      <c r="I21">
        <v>57</v>
      </c>
      <c r="J21">
        <v>94</v>
      </c>
      <c r="K21">
        <v>30000</v>
      </c>
    </row>
    <row r="22" spans="1:11" x14ac:dyDescent="0.25">
      <c r="A22" s="1">
        <v>44607</v>
      </c>
      <c r="B22">
        <v>28</v>
      </c>
      <c r="C22">
        <v>180</v>
      </c>
      <c r="D22">
        <v>564</v>
      </c>
      <c r="E22">
        <v>164</v>
      </c>
      <c r="F22">
        <v>90</v>
      </c>
      <c r="G22">
        <v>24</v>
      </c>
      <c r="H22">
        <v>5.0999999999999996</v>
      </c>
      <c r="I22">
        <v>57</v>
      </c>
      <c r="J22">
        <v>94</v>
      </c>
      <c r="K22">
        <v>30000</v>
      </c>
    </row>
    <row r="23" spans="1:11" x14ac:dyDescent="0.25">
      <c r="A23" s="1">
        <v>44609</v>
      </c>
      <c r="B23">
        <v>26</v>
      </c>
      <c r="C23">
        <v>189</v>
      </c>
      <c r="D23">
        <v>564</v>
      </c>
      <c r="E23">
        <v>160</v>
      </c>
      <c r="F23">
        <v>90</v>
      </c>
      <c r="G23">
        <v>24</v>
      </c>
      <c r="H23">
        <v>5.0999999999999996</v>
      </c>
      <c r="I23">
        <v>57</v>
      </c>
      <c r="J23">
        <v>94</v>
      </c>
      <c r="K23">
        <v>30000</v>
      </c>
    </row>
    <row r="24" spans="1:11" x14ac:dyDescent="0.25">
      <c r="A24" s="1">
        <v>44610</v>
      </c>
      <c r="B24">
        <v>26</v>
      </c>
      <c r="C24">
        <v>180</v>
      </c>
      <c r="D24">
        <v>564</v>
      </c>
      <c r="E24">
        <v>160.28</v>
      </c>
      <c r="F24">
        <v>90</v>
      </c>
      <c r="G24">
        <v>24</v>
      </c>
      <c r="H24">
        <v>5.0999999999999996</v>
      </c>
      <c r="I24">
        <v>57</v>
      </c>
      <c r="J24">
        <v>94</v>
      </c>
      <c r="K24">
        <v>30000</v>
      </c>
    </row>
    <row r="25" spans="1:11" x14ac:dyDescent="0.25">
      <c r="A25" s="1">
        <v>44613</v>
      </c>
      <c r="B25">
        <v>26</v>
      </c>
      <c r="C25">
        <v>180</v>
      </c>
      <c r="D25">
        <v>564</v>
      </c>
      <c r="E25">
        <v>165</v>
      </c>
      <c r="F25">
        <v>90</v>
      </c>
      <c r="G25">
        <v>24</v>
      </c>
      <c r="H25">
        <v>5.0999999999999996</v>
      </c>
      <c r="I25">
        <v>57</v>
      </c>
      <c r="J25">
        <v>94</v>
      </c>
      <c r="K25">
        <v>30000</v>
      </c>
    </row>
    <row r="26" spans="1:11" x14ac:dyDescent="0.25">
      <c r="A26" s="1">
        <v>44614</v>
      </c>
      <c r="B26">
        <v>26</v>
      </c>
      <c r="C26">
        <v>170</v>
      </c>
      <c r="D26">
        <v>564</v>
      </c>
      <c r="E26">
        <v>165</v>
      </c>
      <c r="F26">
        <v>90</v>
      </c>
      <c r="G26">
        <v>24</v>
      </c>
      <c r="H26">
        <v>5.0999999999999996</v>
      </c>
      <c r="I26">
        <v>160</v>
      </c>
      <c r="J26">
        <v>94</v>
      </c>
      <c r="K26">
        <v>30000</v>
      </c>
    </row>
    <row r="27" spans="1:11" x14ac:dyDescent="0.25">
      <c r="A27" s="1">
        <v>44615</v>
      </c>
      <c r="B27">
        <v>26</v>
      </c>
      <c r="C27">
        <v>180</v>
      </c>
      <c r="D27">
        <v>564</v>
      </c>
      <c r="E27">
        <v>165</v>
      </c>
      <c r="F27">
        <v>90</v>
      </c>
      <c r="G27">
        <v>24</v>
      </c>
      <c r="H27">
        <v>5.0999999999999996</v>
      </c>
      <c r="I27">
        <v>160</v>
      </c>
      <c r="J27">
        <v>94</v>
      </c>
      <c r="K27">
        <v>30000</v>
      </c>
    </row>
    <row r="28" spans="1:11" x14ac:dyDescent="0.25">
      <c r="A28" s="1">
        <v>44616</v>
      </c>
      <c r="B28">
        <v>26</v>
      </c>
      <c r="C28">
        <v>170</v>
      </c>
      <c r="D28">
        <v>564</v>
      </c>
      <c r="E28">
        <v>180</v>
      </c>
      <c r="F28">
        <v>90</v>
      </c>
      <c r="G28">
        <v>24</v>
      </c>
      <c r="H28">
        <v>5.0999999999999996</v>
      </c>
      <c r="I28">
        <v>160</v>
      </c>
      <c r="J28">
        <v>94</v>
      </c>
      <c r="K28">
        <v>30000</v>
      </c>
    </row>
    <row r="29" spans="1:11" x14ac:dyDescent="0.25">
      <c r="A29" s="1">
        <v>44617</v>
      </c>
      <c r="B29">
        <v>25</v>
      </c>
      <c r="C29">
        <v>179</v>
      </c>
      <c r="D29">
        <v>564</v>
      </c>
      <c r="E29">
        <v>180</v>
      </c>
      <c r="F29">
        <v>90</v>
      </c>
      <c r="G29">
        <v>22</v>
      </c>
      <c r="H29">
        <v>5.0999999999999996</v>
      </c>
      <c r="I29">
        <v>160</v>
      </c>
      <c r="J29">
        <v>93</v>
      </c>
      <c r="K29">
        <v>30000</v>
      </c>
    </row>
    <row r="30" spans="1:11" x14ac:dyDescent="0.25">
      <c r="A30" s="1">
        <v>44620</v>
      </c>
      <c r="B30">
        <v>25</v>
      </c>
      <c r="C30">
        <v>170</v>
      </c>
      <c r="D30">
        <v>564</v>
      </c>
      <c r="E30">
        <v>180</v>
      </c>
      <c r="F30">
        <v>90</v>
      </c>
      <c r="G30">
        <v>24</v>
      </c>
      <c r="H30">
        <v>5.0999999999999996</v>
      </c>
      <c r="I30">
        <v>160</v>
      </c>
      <c r="J30">
        <v>93</v>
      </c>
      <c r="K30">
        <v>15000</v>
      </c>
    </row>
    <row r="31" spans="1:11" x14ac:dyDescent="0.25">
      <c r="A31" s="1">
        <v>44621</v>
      </c>
      <c r="B31">
        <v>25</v>
      </c>
      <c r="C31">
        <v>180</v>
      </c>
      <c r="D31">
        <v>564</v>
      </c>
      <c r="E31">
        <v>180</v>
      </c>
      <c r="F31">
        <v>90</v>
      </c>
      <c r="G31">
        <v>23</v>
      </c>
      <c r="H31">
        <v>5.0999999999999996</v>
      </c>
      <c r="I31">
        <v>160</v>
      </c>
      <c r="J31">
        <v>93</v>
      </c>
      <c r="K31">
        <v>15000</v>
      </c>
    </row>
    <row r="32" spans="1:11" x14ac:dyDescent="0.25">
      <c r="A32" s="1">
        <v>44622</v>
      </c>
      <c r="B32">
        <v>26</v>
      </c>
      <c r="C32">
        <v>180</v>
      </c>
      <c r="D32">
        <v>564</v>
      </c>
      <c r="E32">
        <v>180</v>
      </c>
      <c r="F32">
        <v>90</v>
      </c>
      <c r="G32">
        <v>24</v>
      </c>
      <c r="H32">
        <v>5.0999999999999996</v>
      </c>
      <c r="I32">
        <v>160</v>
      </c>
      <c r="J32">
        <v>93</v>
      </c>
      <c r="K32">
        <v>15000</v>
      </c>
    </row>
    <row r="33" spans="1:11" x14ac:dyDescent="0.25">
      <c r="A33" s="1">
        <v>44623</v>
      </c>
      <c r="B33">
        <v>26</v>
      </c>
      <c r="C33">
        <v>180</v>
      </c>
      <c r="D33">
        <v>564</v>
      </c>
      <c r="E33">
        <v>180</v>
      </c>
      <c r="F33">
        <v>90</v>
      </c>
      <c r="G33">
        <v>23</v>
      </c>
      <c r="H33">
        <v>5.0999999999999996</v>
      </c>
      <c r="I33">
        <v>160</v>
      </c>
      <c r="J33">
        <v>93</v>
      </c>
      <c r="K33">
        <v>15000</v>
      </c>
    </row>
    <row r="34" spans="1:11" x14ac:dyDescent="0.25">
      <c r="A34" s="1">
        <v>44624</v>
      </c>
      <c r="B34">
        <v>26.23</v>
      </c>
      <c r="C34">
        <v>170</v>
      </c>
      <c r="D34">
        <v>564</v>
      </c>
      <c r="E34">
        <v>180</v>
      </c>
      <c r="F34">
        <v>90</v>
      </c>
      <c r="G34">
        <v>24</v>
      </c>
      <c r="H34">
        <v>5.0999999999999996</v>
      </c>
      <c r="I34">
        <v>160</v>
      </c>
      <c r="J34">
        <v>93</v>
      </c>
      <c r="K34">
        <v>15000</v>
      </c>
    </row>
    <row r="35" spans="1:11" x14ac:dyDescent="0.25">
      <c r="A35" s="1">
        <v>44627</v>
      </c>
      <c r="B35">
        <v>26</v>
      </c>
      <c r="C35">
        <v>170</v>
      </c>
      <c r="D35">
        <v>564</v>
      </c>
      <c r="E35">
        <v>180</v>
      </c>
      <c r="F35">
        <v>90</v>
      </c>
      <c r="G35">
        <v>24</v>
      </c>
      <c r="H35">
        <v>5.0999999999999996</v>
      </c>
      <c r="I35">
        <v>160</v>
      </c>
      <c r="J35">
        <v>93</v>
      </c>
      <c r="K35">
        <v>15000</v>
      </c>
    </row>
    <row r="36" spans="1:11" x14ac:dyDescent="0.25">
      <c r="A36" s="1">
        <v>44628</v>
      </c>
      <c r="B36">
        <v>26</v>
      </c>
      <c r="C36">
        <v>180</v>
      </c>
      <c r="D36">
        <v>564</v>
      </c>
      <c r="E36">
        <v>180</v>
      </c>
      <c r="F36">
        <v>90</v>
      </c>
      <c r="G36">
        <v>23</v>
      </c>
      <c r="H36">
        <v>5.0999999999999996</v>
      </c>
      <c r="I36">
        <v>160</v>
      </c>
      <c r="J36">
        <v>93</v>
      </c>
      <c r="K36">
        <v>15000</v>
      </c>
    </row>
    <row r="37" spans="1:11" x14ac:dyDescent="0.25">
      <c r="A37" s="1">
        <v>44629</v>
      </c>
      <c r="B37">
        <v>26</v>
      </c>
      <c r="C37">
        <v>180</v>
      </c>
      <c r="D37">
        <v>564</v>
      </c>
      <c r="E37">
        <v>180</v>
      </c>
      <c r="F37">
        <v>90</v>
      </c>
      <c r="G37">
        <v>23</v>
      </c>
      <c r="H37">
        <v>5.0999999999999996</v>
      </c>
      <c r="I37">
        <v>160</v>
      </c>
      <c r="J37">
        <v>93</v>
      </c>
      <c r="K37">
        <v>15000</v>
      </c>
    </row>
    <row r="38" spans="1:11" x14ac:dyDescent="0.25">
      <c r="A38" s="1">
        <v>44630</v>
      </c>
      <c r="B38">
        <v>26</v>
      </c>
      <c r="C38">
        <v>175</v>
      </c>
      <c r="D38">
        <v>564</v>
      </c>
      <c r="E38">
        <v>180</v>
      </c>
      <c r="F38">
        <v>90</v>
      </c>
      <c r="G38">
        <v>22</v>
      </c>
      <c r="H38">
        <v>5.0999999999999996</v>
      </c>
      <c r="I38">
        <v>160</v>
      </c>
      <c r="J38">
        <v>93</v>
      </c>
      <c r="K38">
        <v>15000</v>
      </c>
    </row>
    <row r="39" spans="1:11" x14ac:dyDescent="0.25">
      <c r="A39" s="1">
        <v>44631</v>
      </c>
      <c r="B39">
        <v>26</v>
      </c>
      <c r="C39">
        <v>170</v>
      </c>
      <c r="D39">
        <v>564</v>
      </c>
      <c r="E39">
        <v>180</v>
      </c>
      <c r="F39">
        <v>90</v>
      </c>
      <c r="G39">
        <v>22</v>
      </c>
      <c r="H39">
        <v>5.0999999999999996</v>
      </c>
      <c r="I39">
        <v>160</v>
      </c>
      <c r="J39">
        <v>93</v>
      </c>
      <c r="K39">
        <v>15000</v>
      </c>
    </row>
    <row r="40" spans="1:11" x14ac:dyDescent="0.25">
      <c r="A40" s="1">
        <v>44634</v>
      </c>
      <c r="B40">
        <v>26.5</v>
      </c>
      <c r="C40">
        <v>175</v>
      </c>
      <c r="D40">
        <v>564</v>
      </c>
      <c r="E40">
        <v>180</v>
      </c>
      <c r="F40">
        <v>90</v>
      </c>
      <c r="G40">
        <v>22</v>
      </c>
      <c r="H40">
        <v>5.0999999999999996</v>
      </c>
      <c r="I40">
        <v>160</v>
      </c>
      <c r="J40">
        <v>93</v>
      </c>
      <c r="K40">
        <v>15000</v>
      </c>
    </row>
    <row r="41" spans="1:11" x14ac:dyDescent="0.25">
      <c r="A41" s="1">
        <v>44635</v>
      </c>
      <c r="B41">
        <v>26</v>
      </c>
      <c r="C41">
        <v>170.14</v>
      </c>
      <c r="D41">
        <v>555</v>
      </c>
      <c r="E41">
        <v>180</v>
      </c>
      <c r="F41">
        <v>90</v>
      </c>
      <c r="G41">
        <v>22</v>
      </c>
      <c r="H41">
        <v>5.0999999999999996</v>
      </c>
      <c r="I41">
        <v>160</v>
      </c>
      <c r="J41">
        <v>93</v>
      </c>
      <c r="K41">
        <v>15000</v>
      </c>
    </row>
    <row r="42" spans="1:11" x14ac:dyDescent="0.25">
      <c r="A42" s="1">
        <v>44636</v>
      </c>
      <c r="B42">
        <v>26</v>
      </c>
      <c r="C42">
        <v>170</v>
      </c>
      <c r="D42">
        <v>555</v>
      </c>
      <c r="E42">
        <v>180</v>
      </c>
      <c r="F42">
        <v>90</v>
      </c>
      <c r="G42">
        <v>22</v>
      </c>
      <c r="H42">
        <v>5.8</v>
      </c>
      <c r="I42">
        <v>160</v>
      </c>
      <c r="J42">
        <v>93</v>
      </c>
      <c r="K42">
        <v>15000</v>
      </c>
    </row>
    <row r="43" spans="1:11" x14ac:dyDescent="0.25">
      <c r="A43" s="1">
        <v>44637</v>
      </c>
      <c r="B43">
        <v>26</v>
      </c>
      <c r="C43">
        <v>175</v>
      </c>
      <c r="D43">
        <v>555</v>
      </c>
      <c r="E43">
        <v>180</v>
      </c>
      <c r="F43">
        <v>90</v>
      </c>
      <c r="G43">
        <v>22</v>
      </c>
      <c r="H43">
        <v>5.8</v>
      </c>
      <c r="I43">
        <v>160</v>
      </c>
      <c r="J43">
        <v>93</v>
      </c>
      <c r="K43">
        <v>15000</v>
      </c>
    </row>
    <row r="44" spans="1:11" x14ac:dyDescent="0.25">
      <c r="A44" s="1">
        <v>44638</v>
      </c>
      <c r="B44">
        <v>26</v>
      </c>
      <c r="C44">
        <v>175</v>
      </c>
      <c r="D44">
        <v>555</v>
      </c>
      <c r="E44">
        <v>180</v>
      </c>
      <c r="F44">
        <v>90</v>
      </c>
      <c r="G44">
        <v>22</v>
      </c>
      <c r="H44">
        <v>5.8</v>
      </c>
      <c r="I44">
        <v>160</v>
      </c>
      <c r="J44">
        <v>93</v>
      </c>
      <c r="K44">
        <v>15000</v>
      </c>
    </row>
    <row r="45" spans="1:11" x14ac:dyDescent="0.25">
      <c r="A45" s="1">
        <v>44641</v>
      </c>
      <c r="B45">
        <v>26</v>
      </c>
      <c r="C45">
        <v>175</v>
      </c>
      <c r="D45">
        <v>555</v>
      </c>
      <c r="E45">
        <v>180</v>
      </c>
      <c r="F45">
        <v>90</v>
      </c>
      <c r="G45">
        <v>22</v>
      </c>
      <c r="H45">
        <v>5.8</v>
      </c>
      <c r="I45">
        <v>160</v>
      </c>
      <c r="J45">
        <v>93</v>
      </c>
      <c r="K45">
        <v>15000</v>
      </c>
    </row>
    <row r="46" spans="1:11" x14ac:dyDescent="0.25">
      <c r="A46" s="1">
        <v>44642</v>
      </c>
      <c r="B46">
        <v>26</v>
      </c>
      <c r="C46">
        <v>170</v>
      </c>
      <c r="D46">
        <v>555</v>
      </c>
      <c r="E46">
        <v>180</v>
      </c>
      <c r="F46">
        <v>90</v>
      </c>
      <c r="G46">
        <v>23</v>
      </c>
      <c r="H46">
        <v>5.8</v>
      </c>
      <c r="I46">
        <v>160</v>
      </c>
      <c r="J46">
        <v>93</v>
      </c>
      <c r="K46">
        <v>15000</v>
      </c>
    </row>
    <row r="47" spans="1:11" x14ac:dyDescent="0.25">
      <c r="A47" s="1">
        <v>44643</v>
      </c>
      <c r="B47">
        <v>26</v>
      </c>
      <c r="C47">
        <v>170</v>
      </c>
      <c r="D47">
        <v>555</v>
      </c>
      <c r="E47">
        <v>180</v>
      </c>
      <c r="F47">
        <v>90</v>
      </c>
      <c r="G47">
        <v>23</v>
      </c>
      <c r="H47">
        <v>5.8</v>
      </c>
      <c r="I47">
        <v>160</v>
      </c>
      <c r="J47">
        <v>93</v>
      </c>
      <c r="K47">
        <v>15000</v>
      </c>
    </row>
    <row r="48" spans="1:11" x14ac:dyDescent="0.25">
      <c r="A48" s="1">
        <v>44644</v>
      </c>
      <c r="B48">
        <v>26</v>
      </c>
      <c r="C48">
        <v>170</v>
      </c>
      <c r="D48">
        <v>555</v>
      </c>
      <c r="E48">
        <v>180</v>
      </c>
      <c r="F48">
        <v>90</v>
      </c>
      <c r="G48">
        <v>23</v>
      </c>
      <c r="H48">
        <v>5.8</v>
      </c>
      <c r="I48">
        <v>160</v>
      </c>
      <c r="J48">
        <v>93</v>
      </c>
      <c r="K48">
        <v>15000</v>
      </c>
    </row>
    <row r="49" spans="1:12" x14ac:dyDescent="0.25">
      <c r="A49" s="1">
        <v>44645</v>
      </c>
      <c r="B49">
        <v>26</v>
      </c>
      <c r="C49">
        <v>175</v>
      </c>
      <c r="D49">
        <v>555</v>
      </c>
      <c r="E49">
        <v>180</v>
      </c>
      <c r="F49">
        <v>90</v>
      </c>
      <c r="G49">
        <v>23</v>
      </c>
      <c r="H49">
        <v>5.8</v>
      </c>
      <c r="I49">
        <v>160</v>
      </c>
      <c r="J49">
        <v>93</v>
      </c>
      <c r="K49">
        <v>15000</v>
      </c>
    </row>
    <row r="50" spans="1:12" x14ac:dyDescent="0.25">
      <c r="A50" s="1">
        <v>44648</v>
      </c>
      <c r="B50">
        <v>26</v>
      </c>
      <c r="C50">
        <v>175</v>
      </c>
      <c r="D50">
        <v>564</v>
      </c>
      <c r="E50">
        <v>180</v>
      </c>
      <c r="F50">
        <v>90</v>
      </c>
      <c r="G50">
        <v>21</v>
      </c>
      <c r="H50">
        <v>5.8</v>
      </c>
      <c r="I50">
        <v>160</v>
      </c>
      <c r="J50">
        <v>93</v>
      </c>
      <c r="K50">
        <v>15000</v>
      </c>
      <c r="L50" t="s">
        <v>15</v>
      </c>
    </row>
    <row r="51" spans="1:12" x14ac:dyDescent="0.25">
      <c r="A51" s="11">
        <v>44649</v>
      </c>
      <c r="B51">
        <v>26</v>
      </c>
      <c r="C51">
        <v>185</v>
      </c>
      <c r="D51">
        <v>564</v>
      </c>
      <c r="E51">
        <v>180</v>
      </c>
      <c r="F51">
        <v>90</v>
      </c>
      <c r="G51">
        <v>21</v>
      </c>
      <c r="H51">
        <v>5.8</v>
      </c>
      <c r="I51">
        <v>160</v>
      </c>
      <c r="J51">
        <v>93</v>
      </c>
      <c r="K51">
        <v>15000</v>
      </c>
    </row>
    <row r="52" spans="1:12" x14ac:dyDescent="0.25">
      <c r="A52" s="1">
        <v>44650</v>
      </c>
      <c r="B52">
        <v>25</v>
      </c>
      <c r="C52">
        <v>190</v>
      </c>
      <c r="D52">
        <v>564</v>
      </c>
      <c r="E52">
        <v>180</v>
      </c>
      <c r="F52">
        <v>90</v>
      </c>
      <c r="G52">
        <v>21</v>
      </c>
      <c r="H52">
        <v>5.8</v>
      </c>
      <c r="I52">
        <v>160</v>
      </c>
      <c r="J52">
        <v>93</v>
      </c>
      <c r="K52">
        <v>15000</v>
      </c>
    </row>
    <row r="53" spans="1:12" x14ac:dyDescent="0.25">
      <c r="A53" s="1">
        <v>44651</v>
      </c>
      <c r="B53">
        <v>25</v>
      </c>
      <c r="C53">
        <v>185</v>
      </c>
      <c r="D53">
        <v>564</v>
      </c>
      <c r="E53">
        <v>180</v>
      </c>
      <c r="F53">
        <v>90</v>
      </c>
      <c r="G53">
        <v>21</v>
      </c>
      <c r="H53">
        <v>5.8</v>
      </c>
      <c r="I53">
        <v>160</v>
      </c>
      <c r="J53">
        <v>93</v>
      </c>
      <c r="K53">
        <v>15000</v>
      </c>
    </row>
    <row r="54" spans="1:12" x14ac:dyDescent="0.25">
      <c r="A54" s="1">
        <v>44652</v>
      </c>
      <c r="B54">
        <v>25</v>
      </c>
      <c r="C54">
        <v>185</v>
      </c>
      <c r="D54">
        <v>564</v>
      </c>
      <c r="E54">
        <v>180</v>
      </c>
      <c r="F54">
        <v>90</v>
      </c>
      <c r="G54">
        <v>21</v>
      </c>
      <c r="H54">
        <v>5.9</v>
      </c>
      <c r="I54">
        <v>160</v>
      </c>
      <c r="J54">
        <v>93</v>
      </c>
      <c r="K54">
        <v>15000</v>
      </c>
    </row>
    <row r="55" spans="1:12" x14ac:dyDescent="0.25">
      <c r="A55" s="1">
        <v>44653</v>
      </c>
      <c r="B55">
        <v>24.7</v>
      </c>
      <c r="C55">
        <v>230</v>
      </c>
      <c r="D55">
        <v>564</v>
      </c>
      <c r="E55">
        <v>180</v>
      </c>
      <c r="F55">
        <v>90</v>
      </c>
      <c r="G55">
        <v>21</v>
      </c>
      <c r="H55">
        <v>5.9</v>
      </c>
      <c r="I55">
        <v>160</v>
      </c>
      <c r="J55">
        <v>89</v>
      </c>
      <c r="K55">
        <v>15000</v>
      </c>
    </row>
    <row r="56" spans="1:12" x14ac:dyDescent="0.25">
      <c r="A56" s="1">
        <v>44657</v>
      </c>
      <c r="B56">
        <v>25</v>
      </c>
      <c r="C56">
        <v>215</v>
      </c>
      <c r="D56">
        <v>564</v>
      </c>
      <c r="E56">
        <v>189</v>
      </c>
      <c r="F56">
        <v>90</v>
      </c>
      <c r="G56">
        <v>21</v>
      </c>
      <c r="H56">
        <v>5.9</v>
      </c>
      <c r="I56">
        <v>160</v>
      </c>
      <c r="J56">
        <v>90</v>
      </c>
      <c r="K56">
        <v>15000</v>
      </c>
    </row>
    <row r="57" spans="1:12" x14ac:dyDescent="0.25">
      <c r="A57" s="1">
        <v>44658</v>
      </c>
      <c r="B57">
        <v>25</v>
      </c>
      <c r="C57">
        <v>215</v>
      </c>
      <c r="D57">
        <v>564</v>
      </c>
      <c r="E57">
        <v>190</v>
      </c>
      <c r="F57">
        <v>90</v>
      </c>
      <c r="G57">
        <v>21</v>
      </c>
      <c r="H57">
        <v>5.9</v>
      </c>
      <c r="I57">
        <v>160</v>
      </c>
      <c r="J57">
        <v>90</v>
      </c>
      <c r="K57">
        <v>15000</v>
      </c>
    </row>
    <row r="58" spans="1:12" x14ac:dyDescent="0.25">
      <c r="A58" s="1">
        <v>44662</v>
      </c>
      <c r="B58">
        <v>25</v>
      </c>
      <c r="C58">
        <v>215</v>
      </c>
      <c r="D58">
        <v>564</v>
      </c>
      <c r="E58">
        <v>180</v>
      </c>
      <c r="F58">
        <v>90</v>
      </c>
      <c r="G58">
        <v>21</v>
      </c>
      <c r="H58">
        <v>5.9</v>
      </c>
      <c r="I58">
        <v>160</v>
      </c>
      <c r="J58">
        <v>90</v>
      </c>
      <c r="K58">
        <v>15000</v>
      </c>
    </row>
    <row r="59" spans="1:12" x14ac:dyDescent="0.25">
      <c r="A59" s="1">
        <v>44663</v>
      </c>
      <c r="B59">
        <v>25</v>
      </c>
      <c r="C59">
        <v>230</v>
      </c>
      <c r="D59">
        <v>564</v>
      </c>
      <c r="E59">
        <v>185</v>
      </c>
      <c r="F59">
        <v>90</v>
      </c>
      <c r="G59">
        <v>21</v>
      </c>
      <c r="H59">
        <v>5.9</v>
      </c>
      <c r="I59">
        <v>160</v>
      </c>
      <c r="J59">
        <v>90</v>
      </c>
      <c r="K59">
        <v>15000</v>
      </c>
    </row>
    <row r="60" spans="1:12" x14ac:dyDescent="0.25">
      <c r="A60" s="1">
        <v>44664</v>
      </c>
      <c r="B60">
        <v>25</v>
      </c>
      <c r="C60">
        <v>230</v>
      </c>
      <c r="D60">
        <v>564</v>
      </c>
      <c r="E60">
        <v>185</v>
      </c>
      <c r="F60">
        <v>90</v>
      </c>
      <c r="G60">
        <v>21</v>
      </c>
      <c r="H60">
        <v>5.9</v>
      </c>
      <c r="I60">
        <v>160</v>
      </c>
      <c r="J60">
        <v>90</v>
      </c>
      <c r="K60">
        <v>15000</v>
      </c>
    </row>
    <row r="61" spans="1:12" x14ac:dyDescent="0.25">
      <c r="A61" s="1">
        <v>44665</v>
      </c>
      <c r="B61">
        <v>25</v>
      </c>
      <c r="C61">
        <v>231</v>
      </c>
      <c r="D61">
        <v>564</v>
      </c>
      <c r="E61">
        <v>195</v>
      </c>
      <c r="F61">
        <v>90</v>
      </c>
      <c r="G61">
        <v>21</v>
      </c>
      <c r="H61">
        <v>5.9</v>
      </c>
      <c r="I61">
        <v>160</v>
      </c>
      <c r="J61">
        <v>90</v>
      </c>
      <c r="K61">
        <v>15000</v>
      </c>
      <c r="L61" t="s">
        <v>14</v>
      </c>
    </row>
    <row r="62" spans="1:12" x14ac:dyDescent="0.25">
      <c r="A62" s="1">
        <v>44670</v>
      </c>
      <c r="B62">
        <v>25</v>
      </c>
      <c r="C62">
        <v>231</v>
      </c>
      <c r="D62">
        <v>564</v>
      </c>
      <c r="E62">
        <v>195</v>
      </c>
      <c r="F62">
        <v>90</v>
      </c>
      <c r="G62">
        <v>21</v>
      </c>
      <c r="H62">
        <v>5.9</v>
      </c>
      <c r="I62">
        <v>160</v>
      </c>
      <c r="J62">
        <v>90</v>
      </c>
      <c r="K62">
        <v>15000</v>
      </c>
    </row>
    <row r="63" spans="1:12" x14ac:dyDescent="0.25">
      <c r="A63" s="1">
        <v>44671</v>
      </c>
      <c r="B63">
        <v>25</v>
      </c>
      <c r="C63">
        <v>232</v>
      </c>
      <c r="D63">
        <v>564</v>
      </c>
      <c r="E63">
        <v>185</v>
      </c>
      <c r="F63">
        <v>90</v>
      </c>
      <c r="G63">
        <v>21</v>
      </c>
      <c r="H63">
        <v>5.9</v>
      </c>
      <c r="I63">
        <v>160</v>
      </c>
      <c r="J63">
        <v>90</v>
      </c>
      <c r="K63">
        <v>15000</v>
      </c>
    </row>
    <row r="64" spans="1:12" x14ac:dyDescent="0.25">
      <c r="A64" s="1">
        <v>44672</v>
      </c>
      <c r="B64">
        <v>25</v>
      </c>
      <c r="C64">
        <v>240</v>
      </c>
      <c r="D64">
        <v>564</v>
      </c>
      <c r="E64">
        <v>185</v>
      </c>
      <c r="F64">
        <v>90</v>
      </c>
      <c r="G64">
        <v>21</v>
      </c>
      <c r="H64">
        <v>5.9</v>
      </c>
      <c r="I64">
        <v>160</v>
      </c>
      <c r="J64">
        <v>90</v>
      </c>
      <c r="K64">
        <v>15000</v>
      </c>
    </row>
    <row r="65" spans="1:11" x14ac:dyDescent="0.25">
      <c r="A65" s="1">
        <v>44673</v>
      </c>
      <c r="B65">
        <v>25</v>
      </c>
      <c r="C65">
        <v>240</v>
      </c>
      <c r="D65">
        <v>555</v>
      </c>
      <c r="E65">
        <v>185</v>
      </c>
      <c r="F65">
        <v>90</v>
      </c>
      <c r="G65">
        <v>22</v>
      </c>
      <c r="H65">
        <v>5.9</v>
      </c>
      <c r="I65">
        <v>160</v>
      </c>
      <c r="J65">
        <v>90</v>
      </c>
      <c r="K65">
        <v>15000</v>
      </c>
    </row>
    <row r="66" spans="1:11" x14ac:dyDescent="0.25">
      <c r="A66" s="1">
        <v>44676</v>
      </c>
      <c r="B66">
        <v>25</v>
      </c>
      <c r="C66">
        <v>240</v>
      </c>
      <c r="D66">
        <v>555</v>
      </c>
      <c r="E66">
        <v>185</v>
      </c>
      <c r="F66">
        <v>85</v>
      </c>
      <c r="G66">
        <v>21</v>
      </c>
      <c r="H66">
        <v>5.9</v>
      </c>
      <c r="I66">
        <v>160</v>
      </c>
      <c r="J66">
        <v>90</v>
      </c>
      <c r="K66">
        <v>15000</v>
      </c>
    </row>
    <row r="67" spans="1:11" x14ac:dyDescent="0.25">
      <c r="A67" s="1">
        <v>44677</v>
      </c>
      <c r="B67">
        <v>25</v>
      </c>
      <c r="C67">
        <v>240</v>
      </c>
      <c r="D67">
        <v>555</v>
      </c>
      <c r="E67">
        <v>185</v>
      </c>
      <c r="F67">
        <v>85</v>
      </c>
      <c r="G67">
        <v>21</v>
      </c>
      <c r="H67">
        <v>5.9</v>
      </c>
      <c r="I67">
        <v>155</v>
      </c>
      <c r="J67">
        <v>88</v>
      </c>
      <c r="K67">
        <v>15000</v>
      </c>
    </row>
    <row r="68" spans="1:11" x14ac:dyDescent="0.25">
      <c r="A68" s="1">
        <v>44678</v>
      </c>
      <c r="B68">
        <v>25</v>
      </c>
      <c r="C68">
        <v>245</v>
      </c>
      <c r="D68">
        <v>555</v>
      </c>
      <c r="E68">
        <v>185</v>
      </c>
      <c r="F68">
        <v>80</v>
      </c>
      <c r="G68">
        <v>21</v>
      </c>
      <c r="H68">
        <v>5.9</v>
      </c>
      <c r="I68">
        <v>154</v>
      </c>
      <c r="J68">
        <v>88</v>
      </c>
      <c r="K68">
        <v>15000</v>
      </c>
    </row>
    <row r="69" spans="1:11" x14ac:dyDescent="0.25">
      <c r="A69" s="1">
        <v>44679</v>
      </c>
      <c r="B69">
        <v>25</v>
      </c>
      <c r="C69">
        <v>244</v>
      </c>
      <c r="D69">
        <v>555</v>
      </c>
      <c r="E69">
        <v>185</v>
      </c>
      <c r="F69">
        <v>80</v>
      </c>
      <c r="G69">
        <v>21</v>
      </c>
      <c r="H69">
        <v>5.9</v>
      </c>
      <c r="I69">
        <v>154</v>
      </c>
      <c r="J69">
        <v>88</v>
      </c>
      <c r="K69">
        <v>15000</v>
      </c>
    </row>
    <row r="70" spans="1:11" x14ac:dyDescent="0.25">
      <c r="A70" s="1">
        <v>44680</v>
      </c>
      <c r="B70">
        <v>25</v>
      </c>
      <c r="C70">
        <v>244</v>
      </c>
      <c r="D70">
        <v>555</v>
      </c>
      <c r="E70">
        <v>190</v>
      </c>
      <c r="F70">
        <v>80</v>
      </c>
      <c r="G70">
        <v>21</v>
      </c>
      <c r="H70">
        <v>5.9</v>
      </c>
      <c r="I70">
        <v>154</v>
      </c>
      <c r="J70">
        <v>88</v>
      </c>
      <c r="K70">
        <v>15000</v>
      </c>
    </row>
    <row r="71" spans="1:11" x14ac:dyDescent="0.25">
      <c r="A71" s="1">
        <v>44684</v>
      </c>
      <c r="B71">
        <v>25</v>
      </c>
      <c r="C71">
        <v>240</v>
      </c>
      <c r="D71">
        <v>555</v>
      </c>
      <c r="E71">
        <v>180</v>
      </c>
      <c r="F71">
        <v>80</v>
      </c>
      <c r="G71">
        <v>21</v>
      </c>
      <c r="H71">
        <v>5.9</v>
      </c>
      <c r="I71">
        <v>154</v>
      </c>
      <c r="J71">
        <v>88</v>
      </c>
      <c r="K71">
        <v>15000</v>
      </c>
    </row>
    <row r="72" spans="1:11" x14ac:dyDescent="0.25">
      <c r="A72" s="1">
        <v>44685</v>
      </c>
      <c r="B72">
        <v>25</v>
      </c>
      <c r="C72">
        <v>240</v>
      </c>
      <c r="D72">
        <v>555</v>
      </c>
      <c r="E72">
        <v>185</v>
      </c>
      <c r="F72">
        <v>72</v>
      </c>
      <c r="G72">
        <v>21</v>
      </c>
      <c r="H72">
        <v>5.9</v>
      </c>
      <c r="I72">
        <v>160</v>
      </c>
      <c r="J72">
        <v>88</v>
      </c>
      <c r="K72">
        <v>15000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740F-F14C-4B1C-B1BD-C28E06E2DBFE}">
  <dimension ref="A1:N23"/>
  <sheetViews>
    <sheetView topLeftCell="D1" workbookViewId="0">
      <selection activeCell="O15" sqref="O15"/>
    </sheetView>
  </sheetViews>
  <sheetFormatPr defaultRowHeight="15" x14ac:dyDescent="0.25"/>
  <cols>
    <col min="1" max="1" width="10.7109375" bestFit="1" customWidth="1"/>
    <col min="2" max="2" width="18" bestFit="1" customWidth="1"/>
    <col min="3" max="3" width="16.28515625" bestFit="1" customWidth="1"/>
    <col min="4" max="4" width="15.28515625" bestFit="1" customWidth="1"/>
    <col min="5" max="5" width="18" bestFit="1" customWidth="1"/>
    <col min="6" max="6" width="16.28515625" bestFit="1" customWidth="1"/>
    <col min="7" max="7" width="15.28515625" bestFit="1" customWidth="1"/>
    <col min="8" max="8" width="16.85546875" bestFit="1" customWidth="1"/>
    <col min="9" max="9" width="15.28515625" bestFit="1" customWidth="1"/>
    <col min="10" max="10" width="16.28515625" bestFit="1" customWidth="1"/>
    <col min="11" max="11" width="18" bestFit="1" customWidth="1"/>
    <col min="12" max="12" width="18" style="10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12</v>
      </c>
    </row>
    <row r="2" spans="1:14" s="4" customFormat="1" x14ac:dyDescent="0.25">
      <c r="A2" s="4" t="s">
        <v>11</v>
      </c>
      <c r="B2" s="4">
        <v>51200000000</v>
      </c>
      <c r="C2" s="4">
        <v>1624278005</v>
      </c>
      <c r="D2" s="4">
        <v>79509743</v>
      </c>
      <c r="E2" s="4">
        <v>22389044239</v>
      </c>
      <c r="F2" s="4">
        <v>2500000000</v>
      </c>
      <c r="G2" s="4">
        <v>900000000</v>
      </c>
      <c r="H2" s="4">
        <v>1415779718</v>
      </c>
      <c r="I2" s="4">
        <v>76500000</v>
      </c>
      <c r="J2" s="4">
        <v>3651909200</v>
      </c>
      <c r="K2" s="4">
        <v>49080000</v>
      </c>
      <c r="L2" s="4">
        <f>SUM(B2:K2)</f>
        <v>83886100905</v>
      </c>
    </row>
    <row r="3" spans="1:14" x14ac:dyDescent="0.25">
      <c r="A3" s="1">
        <v>44578</v>
      </c>
      <c r="B3" s="3">
        <f>'Dairy Prices'!B2*$B2</f>
        <v>1280000000000</v>
      </c>
      <c r="C3" s="3">
        <f>'Dairy Prices'!C2*C2</f>
        <v>306988542945</v>
      </c>
      <c r="D3" s="3">
        <f>'Dairy Prices'!D2*D2</f>
        <v>44923004795</v>
      </c>
      <c r="E3" s="3">
        <f>'Dairy Prices'!E2*E2</f>
        <v>4141973184215</v>
      </c>
      <c r="F3" s="3">
        <f>'Dairy Prices'!F2*F2</f>
        <v>237500000000</v>
      </c>
      <c r="G3" s="3">
        <f>'Dairy Prices'!G2*G2</f>
        <v>11700000000</v>
      </c>
      <c r="H3" s="3">
        <f>'Dairy Prices'!H2*H2</f>
        <v>7220476561.7999992</v>
      </c>
      <c r="I3" s="3">
        <f>'Dairy Prices'!I2*I2</f>
        <v>12622500000</v>
      </c>
      <c r="J3" s="3">
        <f>'Dairy Prices'!J2*J2</f>
        <v>335975646400</v>
      </c>
      <c r="K3" s="3">
        <f>'Dairy Prices'!K2*K2</f>
        <v>1472400000000</v>
      </c>
      <c r="L3" s="9">
        <f>SUM(B3:K3)</f>
        <v>7851303354916.7998</v>
      </c>
      <c r="M3" s="7"/>
    </row>
    <row r="4" spans="1:14" x14ac:dyDescent="0.25">
      <c r="A4" s="1">
        <v>44579</v>
      </c>
      <c r="B4" s="3">
        <f>'Dairy Prices'!B3*$B2</f>
        <v>1280000000000</v>
      </c>
      <c r="C4" s="3">
        <f>'Dairy Prices'!C3*C2</f>
        <v>306988542945</v>
      </c>
      <c r="D4" s="3">
        <f>'Dairy Prices'!D3*D2</f>
        <v>44923004795</v>
      </c>
      <c r="E4" s="3">
        <f>'Dairy Prices'!E3*E2</f>
        <v>4141973184215</v>
      </c>
      <c r="F4" s="3">
        <f>'Dairy Prices'!F3*F2</f>
        <v>237500000000</v>
      </c>
      <c r="G4" s="3">
        <f>'Dairy Prices'!G3*G2</f>
        <v>11700000000</v>
      </c>
      <c r="H4" s="5">
        <f>'Dairy Prices'!H3*H2</f>
        <v>7220476561.7999992</v>
      </c>
      <c r="I4" s="3">
        <f>'Dairy Prices'!I3*I2</f>
        <v>12622500000</v>
      </c>
      <c r="J4" s="3">
        <f>'Dairy Prices'!J3*J2</f>
        <v>335975646400</v>
      </c>
      <c r="K4" s="3">
        <f>'Dairy Prices'!K3*K2</f>
        <v>1472400000000</v>
      </c>
      <c r="L4" s="9">
        <f t="shared" ref="L4:L23" si="0">SUM(B4:K4)</f>
        <v>7851303354916.7998</v>
      </c>
      <c r="M4" s="7"/>
      <c r="N4" s="6"/>
    </row>
    <row r="5" spans="1:14" x14ac:dyDescent="0.25">
      <c r="A5" s="1">
        <v>44580</v>
      </c>
      <c r="B5" s="3">
        <f>'Dairy Prices'!B4*$B2</f>
        <v>1331200000000</v>
      </c>
      <c r="C5" s="3">
        <f>'Dairy Prices'!C4*C2</f>
        <v>306988542945</v>
      </c>
      <c r="D5" s="3">
        <f>'Dairy Prices'!D4*D2</f>
        <v>46115650940</v>
      </c>
      <c r="E5" s="3">
        <f>'Dairy Prices'!E4*E2</f>
        <v>4097195095737</v>
      </c>
      <c r="F5" s="3">
        <f>'Dairy Prices'!F4*F2</f>
        <v>237500000000</v>
      </c>
      <c r="G5" s="3">
        <f>'Dairy Prices'!G4*G2</f>
        <v>11700000000</v>
      </c>
      <c r="H5" s="5">
        <f>'Dairy Prices'!H4*H2</f>
        <v>7220476561.7999992</v>
      </c>
      <c r="I5" s="3">
        <f>'Dairy Prices'!I4*I2</f>
        <v>12622500000</v>
      </c>
      <c r="J5" s="3">
        <f>'Dairy Prices'!J4*J2</f>
        <v>335975646400</v>
      </c>
      <c r="K5" s="3">
        <f>'Dairy Prices'!K4*K2</f>
        <v>1472400000000</v>
      </c>
      <c r="L5" s="9">
        <f t="shared" si="0"/>
        <v>7858917912583.7998</v>
      </c>
      <c r="M5" s="7"/>
      <c r="N5" s="6"/>
    </row>
    <row r="6" spans="1:14" x14ac:dyDescent="0.25">
      <c r="A6" s="1">
        <v>44581</v>
      </c>
      <c r="B6" s="3">
        <f>'Dairy Prices'!B5*$B2</f>
        <v>1433600000000</v>
      </c>
      <c r="C6" s="3">
        <f>'Dairy Prices'!C5*C2</f>
        <v>306988542945</v>
      </c>
      <c r="D6" s="3">
        <f>'Dairy Prices'!D5*D2</f>
        <v>44923004795</v>
      </c>
      <c r="E6" s="3">
        <f>'Dairy Prices'!E5*E2</f>
        <v>4030027963020</v>
      </c>
      <c r="F6" s="3">
        <f>'Dairy Prices'!F5*F2</f>
        <v>237500000000</v>
      </c>
      <c r="G6" s="3">
        <f>'Dairy Prices'!G5*G2</f>
        <v>11700000000</v>
      </c>
      <c r="H6" s="5">
        <f>'Dairy Prices'!H5*H2</f>
        <v>7220476561.7999992</v>
      </c>
      <c r="I6" s="3">
        <f>'Dairy Prices'!I5*I2</f>
        <v>10786500000</v>
      </c>
      <c r="J6" s="3">
        <f>'Dairy Prices'!J5*J2</f>
        <v>335975646400</v>
      </c>
      <c r="K6" s="3">
        <f>'Dairy Prices'!K5*K2</f>
        <v>1472400000000</v>
      </c>
      <c r="L6" s="9">
        <f t="shared" si="0"/>
        <v>7891122133721.7998</v>
      </c>
      <c r="M6" s="7"/>
      <c r="N6" s="6"/>
    </row>
    <row r="7" spans="1:14" x14ac:dyDescent="0.25">
      <c r="A7" s="1">
        <v>44582</v>
      </c>
      <c r="B7" s="3">
        <f>'Dairy Prices'!B6*$B2</f>
        <v>1433088000000</v>
      </c>
      <c r="C7" s="3">
        <f>'Dairy Prices'!C6*C2</f>
        <v>306988542945</v>
      </c>
      <c r="D7" s="3">
        <f>'Dairy Prices'!D6*D2</f>
        <v>44843495052</v>
      </c>
      <c r="E7" s="3">
        <f>'Dairy Prices'!E6*E2</f>
        <v>4030027963020</v>
      </c>
      <c r="F7" s="3">
        <f>'Dairy Prices'!F6*F2</f>
        <v>237500000000</v>
      </c>
      <c r="G7" s="3">
        <f>'Dairy Prices'!G6*G2</f>
        <v>11700000000</v>
      </c>
      <c r="H7" s="5">
        <f>'Dairy Prices'!H6*H2</f>
        <v>7220476561.7999992</v>
      </c>
      <c r="I7" s="3">
        <f>'Dairy Prices'!I6*I2</f>
        <v>8721000000</v>
      </c>
      <c r="J7" s="3">
        <f>'Dairy Prices'!J6*J2</f>
        <v>335975646400</v>
      </c>
      <c r="K7" s="3">
        <f>'Dairy Prices'!K6*K2</f>
        <v>1472400000000</v>
      </c>
      <c r="L7" s="9">
        <f t="shared" si="0"/>
        <v>7888465123978.7998</v>
      </c>
      <c r="M7" s="7"/>
      <c r="N7" s="6"/>
    </row>
    <row r="8" spans="1:14" x14ac:dyDescent="0.25">
      <c r="A8" s="1">
        <v>44585</v>
      </c>
      <c r="B8" s="3">
        <f>'Dairy Prices'!B7*$B2</f>
        <v>1280000000000</v>
      </c>
      <c r="C8" s="3">
        <f>'Dairy Prices'!C7*C2</f>
        <v>306988542945</v>
      </c>
      <c r="D8" s="3">
        <f>'Dairy Prices'!D7*D2</f>
        <v>44843495052</v>
      </c>
      <c r="E8" s="3">
        <f>'Dairy Prices'!E7*E2</f>
        <v>4030027963020</v>
      </c>
      <c r="F8" s="3">
        <f>'Dairy Prices'!F7*F2</f>
        <v>237500000000</v>
      </c>
      <c r="G8" s="3">
        <f>'Dairy Prices'!G7*G2</f>
        <v>11700000000</v>
      </c>
      <c r="H8" s="5">
        <f>'Dairy Prices'!H7*H2</f>
        <v>7220476561.7999992</v>
      </c>
      <c r="I8" s="3">
        <f>'Dairy Prices'!I7*I2</f>
        <v>9180000000</v>
      </c>
      <c r="J8" s="3">
        <f>'Dairy Prices'!J7*J2</f>
        <v>335975646400</v>
      </c>
      <c r="K8" s="3">
        <f>'Dairy Prices'!K7*K2</f>
        <v>1472400000000</v>
      </c>
      <c r="L8" s="9">
        <f t="shared" si="0"/>
        <v>7735836123978.7998</v>
      </c>
      <c r="M8" s="7"/>
      <c r="N8" s="6"/>
    </row>
    <row r="9" spans="1:14" x14ac:dyDescent="0.25">
      <c r="A9" s="1">
        <v>44586</v>
      </c>
      <c r="B9" s="3">
        <f>'Dairy Prices'!B8*$B2</f>
        <v>1280000000000</v>
      </c>
      <c r="C9" s="3">
        <f>'Dairy Prices'!C8*C2</f>
        <v>306988542945</v>
      </c>
      <c r="D9" s="3">
        <f>'Dairy Prices'!D8*D2</f>
        <v>44843495052</v>
      </c>
      <c r="E9" s="3">
        <f>'Dairy Prices'!E8*E2</f>
        <v>3985249874542</v>
      </c>
      <c r="F9" s="3">
        <f>'Dairy Prices'!F8*F2</f>
        <v>237500000000</v>
      </c>
      <c r="G9" s="3">
        <f>'Dairy Prices'!G8*G2</f>
        <v>11700000000</v>
      </c>
      <c r="H9" s="5">
        <f>'Dairy Prices'!H8*H2</f>
        <v>7220476561.7999992</v>
      </c>
      <c r="I9" s="3">
        <f>'Dairy Prices'!I8*I2</f>
        <v>10786500000</v>
      </c>
      <c r="J9" s="3">
        <f>'Dairy Prices'!J8*J2</f>
        <v>340430975624</v>
      </c>
      <c r="K9" s="3">
        <f>'Dairy Prices'!K8*K2</f>
        <v>1472400000000</v>
      </c>
      <c r="L9" s="9">
        <f t="shared" si="0"/>
        <v>7697119864724.7998</v>
      </c>
      <c r="M9" s="7"/>
      <c r="N9" s="6"/>
    </row>
    <row r="10" spans="1:14" x14ac:dyDescent="0.25">
      <c r="A10" s="1">
        <v>44588</v>
      </c>
      <c r="B10" s="3">
        <f>'Dairy Prices'!B9*$B2</f>
        <v>1433600000000</v>
      </c>
      <c r="C10" s="3">
        <f>'Dairy Prices'!C9*C2</f>
        <v>306988542945</v>
      </c>
      <c r="D10" s="3">
        <f>'Dairy Prices'!D9*D2</f>
        <v>44843495052</v>
      </c>
      <c r="E10" s="3">
        <f>'Dairy Prices'!E9*E2</f>
        <v>4007638918781</v>
      </c>
      <c r="F10" s="3">
        <f>'Dairy Prices'!F9*F2</f>
        <v>237500000000</v>
      </c>
      <c r="G10" s="3">
        <f>'Dairy Prices'!G9*G2</f>
        <v>13410000000</v>
      </c>
      <c r="H10" s="5">
        <f>'Dairy Prices'!H9*H2</f>
        <v>7220476561.7999992</v>
      </c>
      <c r="I10" s="3">
        <f>'Dairy Prices'!I9*I2</f>
        <v>10786500000</v>
      </c>
      <c r="J10" s="3">
        <f>'Dairy Prices'!J9*J2</f>
        <v>340430975624</v>
      </c>
      <c r="K10" s="3">
        <f>'Dairy Prices'!K9*K2</f>
        <v>1472400000000</v>
      </c>
      <c r="L10" s="9">
        <f t="shared" si="0"/>
        <v>7874818908963.7998</v>
      </c>
      <c r="M10" s="7"/>
      <c r="N10" s="6"/>
    </row>
    <row r="11" spans="1:14" x14ac:dyDescent="0.25">
      <c r="A11" s="1">
        <v>44589</v>
      </c>
      <c r="B11" s="3">
        <f>'Dairy Prices'!B10*$B2</f>
        <v>1280000000000</v>
      </c>
      <c r="C11" s="3">
        <f>'Dairy Prices'!C10*C2</f>
        <v>306988542945</v>
      </c>
      <c r="D11" s="3">
        <f>'Dairy Prices'!D10*D2</f>
        <v>44843495052</v>
      </c>
      <c r="E11" s="3">
        <f>'Dairy Prices'!E10*E2</f>
        <v>4007638918781</v>
      </c>
      <c r="F11" s="3">
        <f>'Dairy Prices'!F10*F2</f>
        <v>237500000000</v>
      </c>
      <c r="G11" s="3">
        <f>'Dairy Prices'!G10*G2</f>
        <v>13410000000</v>
      </c>
      <c r="H11" s="5">
        <f>'Dairy Prices'!H10*H2</f>
        <v>7220476561.7999992</v>
      </c>
      <c r="I11" s="3">
        <f>'Dairy Prices'!I10*I2</f>
        <v>9180000000</v>
      </c>
      <c r="J11" s="3">
        <f>'Dairy Prices'!J10*J2</f>
        <v>343279464800</v>
      </c>
      <c r="K11" s="3">
        <f>'Dairy Prices'!K10*K2</f>
        <v>1472400000000</v>
      </c>
      <c r="L11" s="9">
        <f t="shared" si="0"/>
        <v>7722460898139.7998</v>
      </c>
      <c r="M11" s="7"/>
      <c r="N11" s="6"/>
    </row>
    <row r="12" spans="1:14" x14ac:dyDescent="0.25">
      <c r="A12" s="1">
        <v>44592</v>
      </c>
      <c r="B12" s="3">
        <f>'Dairy Prices'!B11*$B2</f>
        <v>1433600000000</v>
      </c>
      <c r="C12" s="3">
        <f>'Dairy Prices'!C11*C2</f>
        <v>306988542945</v>
      </c>
      <c r="D12" s="3">
        <f>'Dairy Prices'!D11*D2</f>
        <v>44843495052</v>
      </c>
      <c r="E12" s="3">
        <f>'Dairy Prices'!E11*E2</f>
        <v>3985249874542</v>
      </c>
      <c r="F12" s="3">
        <f>'Dairy Prices'!F11*F2</f>
        <v>237500000000</v>
      </c>
      <c r="G12" s="3">
        <f>'Dairy Prices'!G11*G2</f>
        <v>13500000000</v>
      </c>
      <c r="H12" s="5">
        <f>'Dairy Prices'!H11*H2</f>
        <v>7220476561.7999992</v>
      </c>
      <c r="I12" s="3">
        <f>'Dairy Prices'!I11*I2</f>
        <v>7879500000</v>
      </c>
      <c r="J12" s="3">
        <f>'Dairy Prices'!J11*J2</f>
        <v>343279464800</v>
      </c>
      <c r="K12" s="3">
        <f>'Dairy Prices'!K11*K2</f>
        <v>1472400000000</v>
      </c>
      <c r="L12" s="9">
        <f t="shared" si="0"/>
        <v>7852461353900.7998</v>
      </c>
      <c r="M12" s="7"/>
      <c r="N12" s="6"/>
    </row>
    <row r="13" spans="1:14" x14ac:dyDescent="0.25">
      <c r="A13" s="1">
        <v>44593</v>
      </c>
      <c r="B13" s="3">
        <f>'Dairy Prices'!B12*$B2</f>
        <v>1433600000000</v>
      </c>
      <c r="C13" s="3">
        <f>'Dairy Prices'!C12*C2</f>
        <v>306988542945</v>
      </c>
      <c r="D13" s="3">
        <f>'Dairy Prices'!D12*D2</f>
        <v>44843495052</v>
      </c>
      <c r="E13" s="3">
        <f>'Dairy Prices'!E12*E2</f>
        <v>3962860830303</v>
      </c>
      <c r="F13" s="3">
        <f>'Dairy Prices'!F12*F2</f>
        <v>237500000000</v>
      </c>
      <c r="G13" s="3">
        <f>'Dairy Prices'!G12*G2</f>
        <v>13500000000</v>
      </c>
      <c r="H13" s="5">
        <f>'Dairy Prices'!H12*H2</f>
        <v>7220476561.7999992</v>
      </c>
      <c r="I13" s="3">
        <f>'Dairy Prices'!I12*I2</f>
        <v>7879500000</v>
      </c>
      <c r="J13" s="3">
        <f>'Dairy Prices'!J12*J2</f>
        <v>343279464800</v>
      </c>
      <c r="K13" s="3">
        <f>'Dairy Prices'!K12*K2</f>
        <v>1472400000000</v>
      </c>
      <c r="L13" s="9">
        <f t="shared" si="0"/>
        <v>7830072309661.7998</v>
      </c>
      <c r="M13" s="7"/>
      <c r="N13" s="6"/>
    </row>
    <row r="14" spans="1:14" x14ac:dyDescent="0.25">
      <c r="A14" s="1">
        <v>44594</v>
      </c>
      <c r="B14" s="3">
        <f>'Dairy Prices'!B13*$B2</f>
        <v>1280000000000</v>
      </c>
      <c r="C14" s="3">
        <f>'Dairy Prices'!C13*C2</f>
        <v>306988542945</v>
      </c>
      <c r="D14" s="3">
        <f>'Dairy Prices'!D13*D2</f>
        <v>44843495052</v>
      </c>
      <c r="E14" s="3">
        <f>'Dairy Prices'!E13*E2</f>
        <v>4007638918781</v>
      </c>
      <c r="F14" s="3">
        <f>'Dairy Prices'!F13*F2</f>
        <v>237500000000</v>
      </c>
      <c r="G14" s="3">
        <f>'Dairy Prices'!G13*G2</f>
        <v>13500000000</v>
      </c>
      <c r="H14" s="5">
        <f>'Dairy Prices'!H13*H2</f>
        <v>7220476561.7999992</v>
      </c>
      <c r="I14" s="3">
        <f>'Dairy Prices'!I13*I2</f>
        <v>7879500000</v>
      </c>
      <c r="J14" s="3">
        <f>'Dairy Prices'!J13*J2</f>
        <v>343279464800</v>
      </c>
      <c r="K14" s="3">
        <f>'Dairy Prices'!K13*K2</f>
        <v>1472400000000</v>
      </c>
      <c r="L14" s="9">
        <f t="shared" si="0"/>
        <v>7721250398139.7998</v>
      </c>
      <c r="M14" s="7"/>
      <c r="N14" s="6"/>
    </row>
    <row r="15" spans="1:14" x14ac:dyDescent="0.25">
      <c r="A15" s="1">
        <v>44595</v>
      </c>
      <c r="B15" s="3">
        <f>'Dairy Prices'!B14*$B2</f>
        <v>1280000000000</v>
      </c>
      <c r="C15" s="3">
        <f>'Dairy Prices'!C14*C2</f>
        <v>306988542945</v>
      </c>
      <c r="D15" s="3">
        <f>'Dairy Prices'!D14*D2</f>
        <v>44127907365</v>
      </c>
      <c r="E15" s="3">
        <f>'Dairy Prices'!E14*E2</f>
        <v>3962860830303</v>
      </c>
      <c r="F15" s="3">
        <f>'Dairy Prices'!F14*F2</f>
        <v>237500000000</v>
      </c>
      <c r="G15" s="3">
        <f>'Dairy Prices'!G14*G2</f>
        <v>13500000000</v>
      </c>
      <c r="H15" s="5">
        <f>'Dairy Prices'!H14*H2</f>
        <v>7220476561.7999992</v>
      </c>
      <c r="I15" s="3">
        <f>'Dairy Prices'!I14*I2</f>
        <v>7879500000</v>
      </c>
      <c r="J15" s="3">
        <f>'Dairy Prices'!J14*J2</f>
        <v>343279464800</v>
      </c>
      <c r="K15" s="3">
        <f>'Dairy Prices'!K14*K2</f>
        <v>1472400000000</v>
      </c>
      <c r="L15" s="9">
        <f t="shared" si="0"/>
        <v>7675756721974.7998</v>
      </c>
      <c r="M15" s="7"/>
      <c r="N15" s="6"/>
    </row>
    <row r="16" spans="1:14" x14ac:dyDescent="0.25">
      <c r="A16" s="1">
        <v>44596</v>
      </c>
      <c r="B16" s="3">
        <f>'Dairy Prices'!B15*$B2</f>
        <v>1408000000000</v>
      </c>
      <c r="C16" s="3">
        <f>'Dairy Prices'!C15*C2</f>
        <v>292370040900</v>
      </c>
      <c r="D16" s="3">
        <f>'Dairy Prices'!D15*D2</f>
        <v>44127907365</v>
      </c>
      <c r="E16" s="3">
        <f>'Dairy Prices'!E15*E2</f>
        <v>4119584139976</v>
      </c>
      <c r="F16" s="3">
        <f>'Dairy Prices'!F15*F2</f>
        <v>237500000000</v>
      </c>
      <c r="G16" s="3">
        <f>'Dairy Prices'!G15*G2</f>
        <v>13500000000</v>
      </c>
      <c r="H16" s="5">
        <f>'Dairy Prices'!H15*H2</f>
        <v>7220476561.7999992</v>
      </c>
      <c r="I16" s="3">
        <f>'Dairy Prices'!I15*I2</f>
        <v>7879500000</v>
      </c>
      <c r="J16" s="3">
        <f>'Dairy Prices'!J15*J2</f>
        <v>343279464800</v>
      </c>
      <c r="K16" s="3">
        <f>'Dairy Prices'!K15*K2</f>
        <v>1472400000000</v>
      </c>
      <c r="L16" s="9">
        <f t="shared" si="0"/>
        <v>7945861529602.7998</v>
      </c>
      <c r="M16" s="7"/>
      <c r="N16" s="6"/>
    </row>
    <row r="17" spans="1:14" x14ac:dyDescent="0.25">
      <c r="A17" s="1">
        <v>44599</v>
      </c>
      <c r="B17" s="3">
        <f>'Dairy Prices'!B16*$B2</f>
        <v>1433600000000</v>
      </c>
      <c r="C17" s="3">
        <f>'Dairy Prices'!C16*C2</f>
        <v>306988542945</v>
      </c>
      <c r="D17" s="3">
        <f>'Dairy Prices'!D16*D2</f>
        <v>44843495052</v>
      </c>
      <c r="E17" s="3">
        <f>'Dairy Prices'!E16*E2</f>
        <v>4141973184215</v>
      </c>
      <c r="F17" s="3">
        <f>'Dairy Prices'!F16*F2</f>
        <v>237500000000</v>
      </c>
      <c r="G17" s="3">
        <f>'Dairy Prices'!G16*G2</f>
        <v>13500000000</v>
      </c>
      <c r="H17" s="5">
        <f>'Dairy Prices'!H16*H2</f>
        <v>7220476561.7999992</v>
      </c>
      <c r="I17" s="3">
        <f>'Dairy Prices'!I16*I2</f>
        <v>6885000000</v>
      </c>
      <c r="J17" s="3">
        <f>'Dairy Prices'!J16*J2</f>
        <v>343279464800</v>
      </c>
      <c r="K17" s="3">
        <f>'Dairy Prices'!K16*K2</f>
        <v>1472400000000</v>
      </c>
      <c r="L17" s="9">
        <f t="shared" si="0"/>
        <v>8008190163573.7998</v>
      </c>
      <c r="M17" s="7"/>
      <c r="N17" s="6"/>
    </row>
    <row r="18" spans="1:14" x14ac:dyDescent="0.25">
      <c r="A18" s="1">
        <v>44600</v>
      </c>
      <c r="B18" s="3">
        <f>'Dairy Prices'!B17*$B2</f>
        <v>1280000000000</v>
      </c>
      <c r="C18" s="3">
        <f>'Dairy Prices'!C17*C2</f>
        <v>295618596910</v>
      </c>
      <c r="D18" s="3">
        <f>'Dairy Prices'!D17*D2</f>
        <v>44127907365</v>
      </c>
      <c r="E18" s="3">
        <f>'Dairy Prices'!E17*E2</f>
        <v>4186751272693</v>
      </c>
      <c r="F18" s="3">
        <f>'Dairy Prices'!F17*F2</f>
        <v>237500000000</v>
      </c>
      <c r="G18" s="3">
        <f>'Dairy Prices'!G17*G2</f>
        <v>17100000000</v>
      </c>
      <c r="H18" s="5">
        <f>'Dairy Prices'!H17*H2</f>
        <v>7220476561.7999992</v>
      </c>
      <c r="I18" s="3">
        <f>'Dairy Prices'!I17*I2</f>
        <v>5890500000</v>
      </c>
      <c r="J18" s="3">
        <f>'Dairy Prices'!J17*J2</f>
        <v>343279464800</v>
      </c>
      <c r="K18" s="3">
        <f>'Dairy Prices'!K17*K2</f>
        <v>1472400000000</v>
      </c>
      <c r="L18" s="9">
        <f t="shared" si="0"/>
        <v>7889888218329.7998</v>
      </c>
      <c r="M18" s="7"/>
      <c r="N18" s="6"/>
    </row>
    <row r="19" spans="1:14" x14ac:dyDescent="0.25">
      <c r="A19" s="1">
        <v>44601</v>
      </c>
      <c r="B19" s="3">
        <f>'Dairy Prices'!B18*$B2</f>
        <v>1382400000000</v>
      </c>
      <c r="C19" s="3">
        <f>'Dairy Prices'!C18*C2</f>
        <v>306988542945</v>
      </c>
      <c r="D19" s="3">
        <f>'Dairy Prices'!D18*D2</f>
        <v>44127907365</v>
      </c>
      <c r="E19" s="3">
        <f>'Dairy Prices'!E18*E2</f>
        <v>3694192299435</v>
      </c>
      <c r="F19" s="3">
        <f>'Dairy Prices'!F18*F2</f>
        <v>237500000000</v>
      </c>
      <c r="G19" s="3">
        <f>'Dairy Prices'!G18*G2</f>
        <v>18900000000</v>
      </c>
      <c r="H19" s="5">
        <f>'Dairy Prices'!H18*H2</f>
        <v>7220476561.7999992</v>
      </c>
      <c r="I19" s="3">
        <f>'Dairy Prices'!I18*I2</f>
        <v>5049000000</v>
      </c>
      <c r="J19" s="3">
        <f>'Dairy Prices'!J18*J2</f>
        <v>343279464800</v>
      </c>
      <c r="K19" s="3">
        <f>'Dairy Prices'!K18*K2</f>
        <v>1472400000000</v>
      </c>
      <c r="L19" s="9">
        <f t="shared" si="0"/>
        <v>7512057691106.7998</v>
      </c>
      <c r="M19" s="7"/>
      <c r="N19" s="6"/>
    </row>
    <row r="20" spans="1:14" x14ac:dyDescent="0.25">
      <c r="A20" s="1">
        <v>44602</v>
      </c>
      <c r="B20" s="3">
        <f>'Dairy Prices'!B19*$B2</f>
        <v>1382400000000</v>
      </c>
      <c r="C20" s="3">
        <f>'Dairy Prices'!C19*C2</f>
        <v>305364264940</v>
      </c>
      <c r="D20" s="3">
        <f>'Dairy Prices'!D19*D2</f>
        <v>44843495052</v>
      </c>
      <c r="E20" s="3">
        <f>'Dairy Prices'!E19*E2</f>
        <v>3694192299435</v>
      </c>
      <c r="F20" s="3">
        <f>'Dairy Prices'!F19*F2</f>
        <v>237500000000</v>
      </c>
      <c r="G20" s="3">
        <f>'Dairy Prices'!G19*G2</f>
        <v>21600000000</v>
      </c>
      <c r="H20" s="5">
        <f>'Dairy Prices'!H19*H2</f>
        <v>7220476561.7999992</v>
      </c>
      <c r="I20" s="3">
        <f>'Dairy Prices'!I19*I2</f>
        <v>4360500000</v>
      </c>
      <c r="J20" s="3">
        <f>'Dairy Prices'!J19*J2</f>
        <v>346931374000</v>
      </c>
      <c r="K20" s="3">
        <f>'Dairy Prices'!K19*K2</f>
        <v>1472400000000</v>
      </c>
      <c r="L20" s="9">
        <f t="shared" si="0"/>
        <v>7516812409988.7998</v>
      </c>
      <c r="M20" s="7"/>
      <c r="N20" s="6"/>
    </row>
    <row r="21" spans="1:14" x14ac:dyDescent="0.25">
      <c r="A21" s="1">
        <v>44603</v>
      </c>
      <c r="B21" s="3">
        <f>'Dairy Prices'!B20*$B2</f>
        <v>1382400000000</v>
      </c>
      <c r="C21" s="3">
        <f>'Dairy Prices'!C20*C2</f>
        <v>306988542945</v>
      </c>
      <c r="D21" s="3">
        <f>'Dairy Prices'!D20*D2</f>
        <v>44843495052</v>
      </c>
      <c r="E21" s="3">
        <f>'Dairy Prices'!E20*E2</f>
        <v>3694192299435</v>
      </c>
      <c r="F21" s="3">
        <f>'Dairy Prices'!F20*F2</f>
        <v>235000000000</v>
      </c>
      <c r="G21" s="3">
        <f>'Dairy Prices'!G20*G2</f>
        <v>21600000000</v>
      </c>
      <c r="H21" s="5">
        <f>'Dairy Prices'!H20*H2</f>
        <v>7220476561.7999992</v>
      </c>
      <c r="I21" s="3">
        <f>'Dairy Prices'!I20*I2</f>
        <v>4360500000</v>
      </c>
      <c r="J21" s="3">
        <f>'Dairy Prices'!J20*J2</f>
        <v>343279464800</v>
      </c>
      <c r="K21" s="3">
        <f>'Dairy Prices'!K20*K2</f>
        <v>1472400000000</v>
      </c>
      <c r="L21" s="9">
        <f t="shared" si="0"/>
        <v>7512284778793.7998</v>
      </c>
      <c r="M21" s="7"/>
      <c r="N21" s="6"/>
    </row>
    <row r="22" spans="1:14" x14ac:dyDescent="0.25">
      <c r="A22" s="1">
        <v>44606</v>
      </c>
      <c r="B22" s="3">
        <f>'Dairy Prices'!B21*$B2</f>
        <v>1433600000000</v>
      </c>
      <c r="C22" s="3">
        <f>'Dairy Prices'!C21*C2</f>
        <v>306988542945</v>
      </c>
      <c r="D22" s="3">
        <f>'Dairy Prices'!D21*D2</f>
        <v>44843495052</v>
      </c>
      <c r="E22" s="3">
        <f>'Dairy Prices'!E21*E2</f>
        <v>3671803255196</v>
      </c>
      <c r="F22" s="3">
        <f>'Dairy Prices'!F21*F2</f>
        <v>235000000000</v>
      </c>
      <c r="G22" s="3">
        <f>'Dairy Prices'!G21*G2</f>
        <v>21600000000</v>
      </c>
      <c r="H22" s="5">
        <f>'Dairy Prices'!H21*H2</f>
        <v>7220476561.7999992</v>
      </c>
      <c r="I22" s="3">
        <f>'Dairy Prices'!I21*I2</f>
        <v>4360500000</v>
      </c>
      <c r="J22" s="3">
        <f>'Dairy Prices'!J21*J2</f>
        <v>343279464800</v>
      </c>
      <c r="K22" s="3">
        <f>'Dairy Prices'!K21*K2</f>
        <v>1472400000000</v>
      </c>
      <c r="L22" s="9">
        <f t="shared" si="0"/>
        <v>7541095734554.7998</v>
      </c>
      <c r="M22" s="7"/>
      <c r="N22" s="6"/>
    </row>
    <row r="23" spans="1:14" x14ac:dyDescent="0.25">
      <c r="A23" s="1">
        <v>44607</v>
      </c>
      <c r="B23" s="3">
        <f>'Dairy Prices'!B22*$B2</f>
        <v>1433600000000</v>
      </c>
      <c r="C23" s="3">
        <f>'Dairy Prices'!C22*C2</f>
        <v>292370040900</v>
      </c>
      <c r="D23" s="3">
        <f>'Dairy Prices'!D22*D2</f>
        <v>44843495052</v>
      </c>
      <c r="E23" s="3">
        <f>'Dairy Prices'!E22*E2</f>
        <v>3671803255196</v>
      </c>
      <c r="F23" s="3">
        <f>'Dairy Prices'!F22*F2</f>
        <v>225000000000</v>
      </c>
      <c r="G23" s="3">
        <f>'Dairy Prices'!G22*G2</f>
        <v>21600000000</v>
      </c>
      <c r="H23" s="5">
        <f>'Dairy Prices'!H22*H2</f>
        <v>7220476561.7999992</v>
      </c>
      <c r="I23" s="3">
        <f>'Dairy Prices'!I22*I2</f>
        <v>4360500000</v>
      </c>
      <c r="J23" s="3">
        <f>'Dairy Prices'!J22*J2</f>
        <v>343279464800</v>
      </c>
      <c r="K23" s="3">
        <f>'Dairy Prices'!K22*K2</f>
        <v>1472400000000</v>
      </c>
      <c r="L23" s="9">
        <f t="shared" si="0"/>
        <v>7516477232509.7998</v>
      </c>
      <c r="M23" s="7"/>
      <c r="N2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Dairy Prices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2022-01-20T06:27:28Z</dcterms:created>
  <dcterms:modified xsi:type="dcterms:W3CDTF">2022-05-05T07:11:33Z</dcterms:modified>
</cp:coreProperties>
</file>