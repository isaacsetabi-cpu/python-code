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testenv\data\USE\"/>
    </mc:Choice>
  </mc:AlternateContent>
  <bookViews>
    <workbookView xWindow="0" yWindow="0" windowWidth="16815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4" i="1" l="1"/>
  <c r="I34" i="1"/>
  <c r="G38" i="1"/>
  <c r="F38" i="1"/>
  <c r="G29" i="1"/>
  <c r="F29" i="1"/>
  <c r="O10" i="1"/>
  <c r="N10" i="1"/>
  <c r="M19" i="1"/>
  <c r="H19" i="1"/>
  <c r="L19" i="1"/>
  <c r="K19" i="1"/>
  <c r="H10" i="1"/>
  <c r="H11" i="1"/>
  <c r="H12" i="1"/>
  <c r="H14" i="1"/>
  <c r="H15" i="1"/>
  <c r="H16" i="1"/>
  <c r="H17" i="1"/>
  <c r="G19" i="1"/>
  <c r="F19" i="1"/>
  <c r="G17" i="1"/>
  <c r="F17" i="1"/>
  <c r="H8" i="1"/>
  <c r="G8" i="1"/>
  <c r="F8" i="1"/>
  <c r="H3" i="1"/>
  <c r="H4" i="1"/>
  <c r="H5" i="1"/>
  <c r="H6" i="1"/>
  <c r="H7" i="1"/>
  <c r="H2" i="1"/>
</calcChain>
</file>

<file path=xl/sharedStrings.xml><?xml version="1.0" encoding="utf-8"?>
<sst xmlns="http://schemas.openxmlformats.org/spreadsheetml/2006/main" count="33" uniqueCount="32">
  <si>
    <t>incomes</t>
  </si>
  <si>
    <t>interest on diposits and placements</t>
  </si>
  <si>
    <t>Interest on loans and advances</t>
  </si>
  <si>
    <t xml:space="preserve"> </t>
  </si>
  <si>
    <t>Interest on Government Securities</t>
  </si>
  <si>
    <t>Foregn Exchange Income</t>
  </si>
  <si>
    <t>Fees and Commission income</t>
  </si>
  <si>
    <t>other Incomes</t>
  </si>
  <si>
    <t>Expenditure</t>
  </si>
  <si>
    <t>Interest expense on deposits</t>
  </si>
  <si>
    <t>Interest expense on borrowings</t>
  </si>
  <si>
    <t>Other interest expense</t>
  </si>
  <si>
    <t>Provision for bad and doubtful debts</t>
  </si>
  <si>
    <t>Administrative and service level agreement fees</t>
  </si>
  <si>
    <t xml:space="preserve">Operating expenses </t>
  </si>
  <si>
    <t>che</t>
  </si>
  <si>
    <t>operating profits</t>
  </si>
  <si>
    <t>margins</t>
  </si>
  <si>
    <t>Customers’ deposit</t>
  </si>
  <si>
    <t>Liabilities</t>
  </si>
  <si>
    <t xml:space="preserve">Borrowed funds </t>
  </si>
  <si>
    <t xml:space="preserve">Other liabilities </t>
  </si>
  <si>
    <t xml:space="preserve">Dividends payable </t>
  </si>
  <si>
    <t>Disposal group liabilities</t>
  </si>
  <si>
    <t>Assets</t>
  </si>
  <si>
    <t>Cash and balances with Bank of Uganda</t>
  </si>
  <si>
    <t>Balances with banking institutions</t>
  </si>
  <si>
    <t>Due from group companies</t>
  </si>
  <si>
    <t>Marketable (trading) securities</t>
  </si>
  <si>
    <t>Loans and advances (Net)</t>
  </si>
  <si>
    <t xml:space="preserve">Investment securities </t>
  </si>
  <si>
    <t xml:space="preserve">Other assets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</si>
</sst>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/>
    <xf numFmtId="3" fontId="0" fillId="0" borderId="0" xfId="0" applyNumberFormat="1"/>
    <xf numFmtId="3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"/>
  <sheetViews>
    <sheetView tabSelected="1" workbookViewId="0">
      <selection activeCell="I37" sqref="I37"/>
    </sheetView>
  </sheetViews>
  <sheetFormatPr defaultRowHeight="15" x14ac:dyDescent="0.25"/>
  <cols>
    <col min="1" max="1" width="11.85546875" bestFit="1" customWidth="1"/>
    <col min="5" max="5" width="16.140625" customWidth="1"/>
    <col min="6" max="7" width="12.7109375" bestFit="1" customWidth="1"/>
    <col min="11" max="11" width="12" bestFit="1" customWidth="1"/>
    <col min="12" max="12" width="11.140625" bestFit="1" customWidth="1"/>
  </cols>
  <sheetData>
    <row r="1" spans="1:15" x14ac:dyDescent="0.25">
      <c r="F1">
        <v>2023</v>
      </c>
      <c r="G1">
        <v>2022</v>
      </c>
    </row>
    <row r="2" spans="1:15" x14ac:dyDescent="0.25">
      <c r="A2" t="s">
        <v>0</v>
      </c>
      <c r="B2" s="1" t="s">
        <v>1</v>
      </c>
      <c r="C2" s="1"/>
      <c r="D2" s="1"/>
      <c r="E2" s="1"/>
      <c r="F2" s="2">
        <v>17517790</v>
      </c>
      <c r="G2" s="2">
        <v>9068218</v>
      </c>
      <c r="H2">
        <f>(F2/G2)-1</f>
        <v>0.9317786581663563</v>
      </c>
    </row>
    <row r="3" spans="1:15" x14ac:dyDescent="0.25">
      <c r="B3" s="1" t="s">
        <v>2</v>
      </c>
      <c r="C3" s="1"/>
      <c r="D3" s="1"/>
      <c r="E3" s="1"/>
      <c r="F3" s="2">
        <v>135911082</v>
      </c>
      <c r="G3" s="2">
        <v>114415065</v>
      </c>
      <c r="H3">
        <f t="shared" ref="H3:H19" si="0">(F3/G3)-1</f>
        <v>0.18787750546660975</v>
      </c>
    </row>
    <row r="4" spans="1:15" x14ac:dyDescent="0.25">
      <c r="B4" s="1" t="s">
        <v>4</v>
      </c>
      <c r="C4" s="1"/>
      <c r="D4" s="1"/>
      <c r="E4" s="1"/>
      <c r="F4" s="2">
        <v>109613472</v>
      </c>
      <c r="G4" s="2">
        <v>104183198</v>
      </c>
      <c r="H4">
        <f t="shared" si="0"/>
        <v>5.2122358540001912E-2</v>
      </c>
    </row>
    <row r="5" spans="1:15" x14ac:dyDescent="0.25">
      <c r="B5" s="1" t="s">
        <v>5</v>
      </c>
      <c r="C5" s="1"/>
      <c r="D5" s="1"/>
      <c r="E5" s="1"/>
      <c r="F5" s="2">
        <v>3795957</v>
      </c>
      <c r="G5" s="2">
        <v>4719059</v>
      </c>
      <c r="H5">
        <f t="shared" si="0"/>
        <v>-0.19561145558892146</v>
      </c>
    </row>
    <row r="6" spans="1:15" x14ac:dyDescent="0.25">
      <c r="B6" s="1" t="s">
        <v>6</v>
      </c>
      <c r="C6" s="1"/>
      <c r="D6" s="1"/>
      <c r="E6" s="1"/>
      <c r="F6" s="2">
        <v>10417615</v>
      </c>
      <c r="G6" s="2">
        <v>18259970</v>
      </c>
      <c r="H6">
        <f t="shared" si="0"/>
        <v>-0.42948345479209438</v>
      </c>
    </row>
    <row r="7" spans="1:15" x14ac:dyDescent="0.25">
      <c r="B7" s="1" t="s">
        <v>7</v>
      </c>
      <c r="C7" s="1"/>
      <c r="D7" s="1"/>
      <c r="E7" s="1"/>
      <c r="F7" s="2">
        <v>17773941</v>
      </c>
      <c r="G7" s="2">
        <v>11092648</v>
      </c>
      <c r="H7">
        <f t="shared" si="0"/>
        <v>0.6023172284922409</v>
      </c>
      <c r="I7" t="s">
        <v>15</v>
      </c>
    </row>
    <row r="8" spans="1:15" x14ac:dyDescent="0.25">
      <c r="F8" s="3">
        <f>SUM(F2:F7)</f>
        <v>295029857</v>
      </c>
      <c r="G8" s="3">
        <f>SUM(G2:G7)</f>
        <v>261738158</v>
      </c>
      <c r="H8">
        <f t="shared" si="0"/>
        <v>0.12719467140133234</v>
      </c>
    </row>
    <row r="10" spans="1:15" x14ac:dyDescent="0.25">
      <c r="A10" t="s">
        <v>8</v>
      </c>
      <c r="B10" t="s">
        <v>9</v>
      </c>
      <c r="F10" s="2">
        <v>84776386</v>
      </c>
      <c r="G10" s="2">
        <v>55904043</v>
      </c>
      <c r="H10">
        <f t="shared" si="0"/>
        <v>0.51646252132426262</v>
      </c>
      <c r="K10" s="2">
        <v>153315598</v>
      </c>
      <c r="L10" s="2">
        <v>156916737</v>
      </c>
      <c r="N10">
        <f>K11/K10</f>
        <v>0.24382378236557509</v>
      </c>
      <c r="O10">
        <f>L11/L10</f>
        <v>0.22133854975584918</v>
      </c>
    </row>
    <row r="11" spans="1:15" x14ac:dyDescent="0.25">
      <c r="B11" t="s">
        <v>10</v>
      </c>
      <c r="F11" s="2">
        <v>400413</v>
      </c>
      <c r="G11" s="2">
        <v>400656</v>
      </c>
      <c r="H11">
        <f t="shared" si="0"/>
        <v>-6.0650533125672368E-4</v>
      </c>
      <c r="K11" s="2">
        <v>37381989</v>
      </c>
      <c r="L11" s="2">
        <v>34731723</v>
      </c>
    </row>
    <row r="12" spans="1:15" x14ac:dyDescent="0.25">
      <c r="B12" t="s">
        <v>11</v>
      </c>
      <c r="F12" s="2">
        <v>403346</v>
      </c>
      <c r="G12" s="2">
        <v>442020</v>
      </c>
      <c r="H12">
        <f t="shared" si="0"/>
        <v>-8.7493778562055979E-2</v>
      </c>
    </row>
    <row r="13" spans="1:15" x14ac:dyDescent="0.25">
      <c r="B13" t="s">
        <v>3</v>
      </c>
    </row>
    <row r="14" spans="1:15" x14ac:dyDescent="0.25">
      <c r="B14" t="s">
        <v>12</v>
      </c>
      <c r="F14" s="2">
        <v>9553025</v>
      </c>
      <c r="G14" s="2">
        <v>11065014</v>
      </c>
      <c r="H14">
        <f t="shared" si="0"/>
        <v>-0.13664591838745077</v>
      </c>
    </row>
    <row r="15" spans="1:15" x14ac:dyDescent="0.25">
      <c r="B15" t="s">
        <v>13</v>
      </c>
      <c r="F15" s="2">
        <v>1333608</v>
      </c>
      <c r="G15" s="2">
        <v>2299021</v>
      </c>
      <c r="H15">
        <f t="shared" si="0"/>
        <v>-0.41992352396955057</v>
      </c>
    </row>
    <row r="16" spans="1:15" x14ac:dyDescent="0.25">
      <c r="B16" t="s">
        <v>14</v>
      </c>
      <c r="F16" s="2">
        <v>45247481</v>
      </c>
      <c r="G16" s="2">
        <v>34710667</v>
      </c>
      <c r="H16">
        <f t="shared" si="0"/>
        <v>0.30356126547496198</v>
      </c>
    </row>
    <row r="17" spans="1:13" x14ac:dyDescent="0.25">
      <c r="F17" s="3">
        <f>SUM(F10:F16)</f>
        <v>141714259</v>
      </c>
      <c r="G17" s="3">
        <f>SUM(G10:G16)</f>
        <v>104821421</v>
      </c>
      <c r="H17">
        <f t="shared" si="0"/>
        <v>0.3519589569387731</v>
      </c>
    </row>
    <row r="19" spans="1:13" x14ac:dyDescent="0.25">
      <c r="B19" t="s">
        <v>16</v>
      </c>
      <c r="F19" s="2">
        <f>F8-F17</f>
        <v>153315598</v>
      </c>
      <c r="G19" s="2">
        <f>G8-G17</f>
        <v>156916737</v>
      </c>
      <c r="H19" s="4">
        <f>(F19/G19)-1</f>
        <v>-2.2949361991895123E-2</v>
      </c>
      <c r="J19" t="s">
        <v>17</v>
      </c>
      <c r="K19">
        <f>F17/F8</f>
        <v>0.48033870348247498</v>
      </c>
      <c r="L19">
        <f>G17/G8</f>
        <v>0.40048200002996887</v>
      </c>
      <c r="M19">
        <f>(K19+L19)/2</f>
        <v>0.4404103517562219</v>
      </c>
    </row>
    <row r="24" spans="1:13" x14ac:dyDescent="0.25">
      <c r="A24" t="s">
        <v>19</v>
      </c>
      <c r="B24" t="s">
        <v>18</v>
      </c>
      <c r="F24" s="2">
        <v>2024941979</v>
      </c>
      <c r="G24" s="2">
        <v>1777297079</v>
      </c>
    </row>
    <row r="25" spans="1:13" x14ac:dyDescent="0.25">
      <c r="B25" t="s">
        <v>20</v>
      </c>
      <c r="F25" s="2">
        <v>14322590</v>
      </c>
      <c r="G25" s="2">
        <v>8725514</v>
      </c>
    </row>
    <row r="26" spans="1:13" x14ac:dyDescent="0.25">
      <c r="B26" t="s">
        <v>21</v>
      </c>
      <c r="F26" s="2">
        <v>55670027</v>
      </c>
      <c r="G26" s="2">
        <v>38311297</v>
      </c>
    </row>
    <row r="27" spans="1:13" x14ac:dyDescent="0.25">
      <c r="B27" t="s">
        <v>22</v>
      </c>
      <c r="F27" s="2">
        <v>1042736</v>
      </c>
      <c r="G27" s="2">
        <v>919628</v>
      </c>
    </row>
    <row r="28" spans="1:13" x14ac:dyDescent="0.25">
      <c r="B28" t="s">
        <v>23</v>
      </c>
      <c r="F28" s="2">
        <v>0</v>
      </c>
      <c r="G28" s="2">
        <v>276674</v>
      </c>
    </row>
    <row r="29" spans="1:13" x14ac:dyDescent="0.25">
      <c r="B29" t="s">
        <v>3</v>
      </c>
      <c r="F29" s="3">
        <f>SUM(F24:F28)</f>
        <v>2095977332</v>
      </c>
      <c r="G29" s="3">
        <f>SUM(G24:G28)</f>
        <v>1825530192</v>
      </c>
    </row>
    <row r="31" spans="1:13" x14ac:dyDescent="0.25">
      <c r="A31" t="s">
        <v>24</v>
      </c>
      <c r="B31" t="s">
        <v>25</v>
      </c>
      <c r="F31" s="2">
        <v>215775055</v>
      </c>
      <c r="G31" s="2">
        <v>228514586</v>
      </c>
    </row>
    <row r="32" spans="1:13" x14ac:dyDescent="0.25">
      <c r="B32" t="s">
        <v>26</v>
      </c>
      <c r="F32" s="2">
        <v>424676491</v>
      </c>
      <c r="G32" s="2">
        <v>282869624</v>
      </c>
    </row>
    <row r="33" spans="2:10" x14ac:dyDescent="0.25">
      <c r="B33" t="s">
        <v>27</v>
      </c>
      <c r="F33" s="2">
        <v>2626525</v>
      </c>
      <c r="G33" s="2">
        <v>6292990</v>
      </c>
    </row>
    <row r="34" spans="2:10" x14ac:dyDescent="0.25">
      <c r="B34" t="s">
        <v>28</v>
      </c>
      <c r="F34" s="2">
        <v>713315127</v>
      </c>
      <c r="G34" s="2">
        <v>602780921</v>
      </c>
      <c r="I34">
        <f>F38/F29</f>
        <v>1.3185286461867136</v>
      </c>
      <c r="J34">
        <f>G38/G29</f>
        <v>1.3146626067962617</v>
      </c>
    </row>
    <row r="35" spans="2:10" x14ac:dyDescent="0.25">
      <c r="B35" t="s">
        <v>29</v>
      </c>
      <c r="F35" s="2">
        <v>1239882695</v>
      </c>
      <c r="G35" s="2">
        <v>1089050974</v>
      </c>
    </row>
    <row r="36" spans="2:10" x14ac:dyDescent="0.25">
      <c r="B36" t="s">
        <v>30</v>
      </c>
      <c r="F36" s="2">
        <v>160790350</v>
      </c>
      <c r="G36" s="2">
        <v>185211786</v>
      </c>
    </row>
    <row r="37" spans="2:10" x14ac:dyDescent="0.25">
      <c r="B37" t="s">
        <v>31</v>
      </c>
      <c r="F37" s="2">
        <v>6539911</v>
      </c>
      <c r="G37" s="2">
        <v>5235400</v>
      </c>
    </row>
    <row r="38" spans="2:10" x14ac:dyDescent="0.25">
      <c r="F38" s="3">
        <f>SUM(F31:F37)</f>
        <v>2763606154</v>
      </c>
      <c r="G38" s="3">
        <f>SUM(G31:G37)</f>
        <v>2399956281</v>
      </c>
    </row>
  </sheetData>
  <mergeCells count="6">
    <mergeCell ref="B2:E2"/>
    <mergeCell ref="B3:E3"/>
    <mergeCell ref="B4:E4"/>
    <mergeCell ref="B5:E5"/>
    <mergeCell ref="B6:E6"/>
    <mergeCell ref="B7:E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2024-04-25T10:16:09Z</dcterms:created>
  <dcterms:modified xsi:type="dcterms:W3CDTF">2024-04-26T07:32:09Z</dcterms:modified>
</cp:coreProperties>
</file>