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nv\data\USE\"/>
    </mc:Choice>
  </mc:AlternateContent>
  <xr:revisionPtr revIDLastSave="0" documentId="13_ncr:1_{87EDD46A-F6CF-4333-B379-293D3BD904F3}" xr6:coauthVersionLast="41" xr6:coauthVersionMax="41" xr10:uidLastSave="{00000000-0000-0000-0000-000000000000}"/>
  <bookViews>
    <workbookView xWindow="-120" yWindow="480" windowWidth="20730" windowHeight="11160" xr2:uid="{4EC00BFB-A440-46E9-B694-4F2F992FA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2" i="1"/>
  <c r="J10" i="1"/>
  <c r="K10" i="1"/>
  <c r="L10" i="1"/>
  <c r="I10" i="1"/>
  <c r="J8" i="1"/>
  <c r="K8" i="1"/>
  <c r="L8" i="1"/>
  <c r="I8" i="1"/>
  <c r="J6" i="1"/>
  <c r="K6" i="1"/>
  <c r="L6" i="1"/>
  <c r="I6" i="1"/>
  <c r="J4" i="1"/>
  <c r="K4" i="1"/>
  <c r="L4" i="1"/>
  <c r="I4" i="1"/>
  <c r="B29" i="1"/>
  <c r="C29" i="1"/>
  <c r="D29" i="1"/>
  <c r="C34" i="1"/>
  <c r="D34" i="1"/>
  <c r="E34" i="1"/>
  <c r="B34" i="1"/>
  <c r="C28" i="1"/>
  <c r="D28" i="1"/>
  <c r="E28" i="1"/>
  <c r="B28" i="1"/>
  <c r="C26" i="1"/>
  <c r="D26" i="1"/>
  <c r="E26" i="1"/>
  <c r="B26" i="1"/>
  <c r="C20" i="1"/>
  <c r="D20" i="1"/>
  <c r="E20" i="1"/>
  <c r="B20" i="1"/>
  <c r="B7" i="1"/>
  <c r="C7" i="1"/>
  <c r="D7" i="1"/>
  <c r="E7" i="1"/>
  <c r="B10" i="1"/>
  <c r="C6" i="1"/>
  <c r="D6" i="1"/>
  <c r="E6" i="1"/>
  <c r="B6" i="1"/>
</calcChain>
</file>

<file path=xl/sharedStrings.xml><?xml version="1.0" encoding="utf-8"?>
<sst xmlns="http://schemas.openxmlformats.org/spreadsheetml/2006/main" count="33" uniqueCount="31">
  <si>
    <t>share capital</t>
  </si>
  <si>
    <t>capital grant</t>
  </si>
  <si>
    <t>retained earnings</t>
  </si>
  <si>
    <t>less: intangible Assets</t>
  </si>
  <si>
    <t>Net Tangible Book Value</t>
  </si>
  <si>
    <t>shares outstanding</t>
  </si>
  <si>
    <t>market capitalization</t>
  </si>
  <si>
    <t>price</t>
  </si>
  <si>
    <t>Tangible BV/per</t>
  </si>
  <si>
    <t>current liabilities</t>
  </si>
  <si>
    <t>lease</t>
  </si>
  <si>
    <t>payables</t>
  </si>
  <si>
    <t>bank over draft</t>
  </si>
  <si>
    <t>term loan</t>
  </si>
  <si>
    <t>current assets</t>
  </si>
  <si>
    <t>inventories</t>
  </si>
  <si>
    <t>trade recievables</t>
  </si>
  <si>
    <t>cash</t>
  </si>
  <si>
    <t>total</t>
  </si>
  <si>
    <t>working capital</t>
  </si>
  <si>
    <t>long term liability</t>
  </si>
  <si>
    <t>Term loan</t>
  </si>
  <si>
    <t>Lease liability</t>
  </si>
  <si>
    <t>Deffered tax</t>
  </si>
  <si>
    <t>EBIT</t>
  </si>
  <si>
    <t>FCF</t>
  </si>
  <si>
    <t>TAX</t>
  </si>
  <si>
    <t>DEPN</t>
  </si>
  <si>
    <t>CAPEX</t>
  </si>
  <si>
    <t>CHENG: NWC</t>
  </si>
  <si>
    <t>Av.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</si>
</sst>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17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5DB9-056A-4CFD-9398-044AE3E0E433}">
  <dimension ref="A1:M35"/>
  <sheetViews>
    <sheetView tabSelected="1" workbookViewId="0">
      <selection activeCell="M3" sqref="M3"/>
    </sheetView>
  </sheetViews>
  <sheetFormatPr defaultRowHeight="15" x14ac:dyDescent="0.25"/>
  <cols>
    <col min="1" max="1" width="23.140625" bestFit="1" customWidth="1"/>
    <col min="2" max="2" width="12" bestFit="1" customWidth="1"/>
    <col min="3" max="3" width="7.42578125" customWidth="1"/>
    <col min="4" max="4" width="7.7109375" customWidth="1"/>
    <col min="5" max="5" width="7.5703125" customWidth="1"/>
    <col min="8" max="8" width="12.85546875" bestFit="1" customWidth="1"/>
  </cols>
  <sheetData>
    <row r="1" spans="1:13" x14ac:dyDescent="0.25">
      <c r="A1" s="2"/>
      <c r="B1" s="2">
        <v>2022</v>
      </c>
      <c r="C1" s="2">
        <v>2021</v>
      </c>
      <c r="D1" s="2">
        <v>2020</v>
      </c>
      <c r="E1" s="2">
        <v>2019</v>
      </c>
      <c r="F1" s="2"/>
      <c r="H1" t="s">
        <v>25</v>
      </c>
      <c r="I1">
        <v>2022</v>
      </c>
      <c r="J1">
        <v>2021</v>
      </c>
      <c r="K1">
        <v>2020</v>
      </c>
      <c r="L1">
        <v>2019</v>
      </c>
      <c r="M1" t="s">
        <v>30</v>
      </c>
    </row>
    <row r="2" spans="1:13" x14ac:dyDescent="0.25">
      <c r="A2" s="2" t="s">
        <v>0</v>
      </c>
      <c r="B2" s="2">
        <v>45.6</v>
      </c>
      <c r="C2" s="2">
        <v>45.6</v>
      </c>
      <c r="D2" s="2">
        <v>45.6</v>
      </c>
      <c r="E2" s="2">
        <v>45.6</v>
      </c>
      <c r="F2" s="2"/>
      <c r="H2" t="s">
        <v>24</v>
      </c>
      <c r="I2">
        <v>39.299999999999997</v>
      </c>
      <c r="J2">
        <v>-5.5</v>
      </c>
      <c r="K2">
        <v>-31.8</v>
      </c>
      <c r="L2">
        <v>9.6999999999999993</v>
      </c>
      <c r="M2">
        <f>(SUM(I2:L2)/4)</f>
        <v>2.9249999999999989</v>
      </c>
    </row>
    <row r="3" spans="1:13" x14ac:dyDescent="0.25">
      <c r="A3" s="2" t="s">
        <v>1</v>
      </c>
      <c r="B3" s="2">
        <v>2.2999999999999998</v>
      </c>
      <c r="C3" s="2">
        <v>2.2999999999999998</v>
      </c>
      <c r="D3" s="2">
        <v>2.2999999999999998</v>
      </c>
      <c r="E3" s="2">
        <v>2.2999999999999998</v>
      </c>
      <c r="F3" s="2"/>
      <c r="H3" t="s">
        <v>26</v>
      </c>
      <c r="I3">
        <v>0.7</v>
      </c>
      <c r="J3">
        <v>0.7</v>
      </c>
      <c r="K3">
        <v>0.7</v>
      </c>
      <c r="L3">
        <v>0.7</v>
      </c>
      <c r="M3">
        <f t="shared" ref="M3:M10" si="0">(SUM(I3:L3)/4)</f>
        <v>0.7</v>
      </c>
    </row>
    <row r="4" spans="1:13" x14ac:dyDescent="0.25">
      <c r="A4" s="2" t="s">
        <v>2</v>
      </c>
      <c r="B4" s="2">
        <v>109.5</v>
      </c>
      <c r="C4" s="2">
        <v>87.7</v>
      </c>
      <c r="D4" s="2">
        <v>97.3</v>
      </c>
      <c r="E4" s="2">
        <v>120.4</v>
      </c>
      <c r="F4" s="2"/>
      <c r="I4">
        <f>I2*I3</f>
        <v>27.509999999999998</v>
      </c>
      <c r="J4">
        <f t="shared" ref="J4:L4" si="1">J2*J3</f>
        <v>-3.8499999999999996</v>
      </c>
      <c r="K4">
        <f t="shared" si="1"/>
        <v>-22.259999999999998</v>
      </c>
      <c r="L4">
        <f t="shared" si="1"/>
        <v>6.7899999999999991</v>
      </c>
      <c r="M4">
        <f t="shared" si="0"/>
        <v>2.0474999999999994</v>
      </c>
    </row>
    <row r="5" spans="1:13" x14ac:dyDescent="0.25">
      <c r="A5" s="2" t="s">
        <v>3</v>
      </c>
      <c r="B5" s="2">
        <v>1.3</v>
      </c>
      <c r="C5" s="2">
        <v>1.2</v>
      </c>
      <c r="D5" s="2">
        <v>1.4</v>
      </c>
      <c r="E5" s="2">
        <v>1.7</v>
      </c>
      <c r="F5" s="2"/>
      <c r="H5" t="s">
        <v>27</v>
      </c>
      <c r="I5">
        <v>9.1</v>
      </c>
      <c r="J5">
        <v>8.4</v>
      </c>
      <c r="K5">
        <v>6.8</v>
      </c>
      <c r="L5">
        <v>5.0999999999999996</v>
      </c>
      <c r="M5">
        <f t="shared" si="0"/>
        <v>7.35</v>
      </c>
    </row>
    <row r="6" spans="1:13" s="1" customFormat="1" x14ac:dyDescent="0.25">
      <c r="A6" s="3" t="s">
        <v>4</v>
      </c>
      <c r="B6" s="3">
        <f>(SUM(B2:B4)-B5)</f>
        <v>156.1</v>
      </c>
      <c r="C6" s="3">
        <f t="shared" ref="C6:E6" si="2">(SUM(C2:C4)-C5)</f>
        <v>134.4</v>
      </c>
      <c r="D6" s="3">
        <f t="shared" si="2"/>
        <v>143.79999999999998</v>
      </c>
      <c r="E6" s="3">
        <f t="shared" si="2"/>
        <v>166.60000000000002</v>
      </c>
      <c r="F6" s="3"/>
      <c r="I6" s="1">
        <f>SUM(I4:I5)</f>
        <v>36.61</v>
      </c>
      <c r="J6" s="1">
        <f t="shared" ref="J6:L6" si="3">SUM(J4:J5)</f>
        <v>4.5500000000000007</v>
      </c>
      <c r="K6" s="1">
        <f t="shared" si="3"/>
        <v>-15.459999999999997</v>
      </c>
      <c r="L6" s="1">
        <f t="shared" si="3"/>
        <v>11.889999999999999</v>
      </c>
      <c r="M6">
        <f t="shared" si="0"/>
        <v>9.3974999999999991</v>
      </c>
    </row>
    <row r="7" spans="1:13" x14ac:dyDescent="0.25">
      <c r="A7" s="2" t="s">
        <v>8</v>
      </c>
      <c r="B7" s="4">
        <f>(B6*1000000000)/$B$9</f>
        <v>42.744764847932146</v>
      </c>
      <c r="C7" s="4">
        <f t="shared" ref="C7:E7" si="4">(C6*1000000000)/$B$9</f>
        <v>36.802667492390007</v>
      </c>
      <c r="D7" s="4">
        <f t="shared" si="4"/>
        <v>39.376663581887513</v>
      </c>
      <c r="E7" s="4">
        <f t="shared" si="4"/>
        <v>45.619973245775121</v>
      </c>
      <c r="F7" s="2"/>
      <c r="H7" t="s">
        <v>28</v>
      </c>
      <c r="I7">
        <v>8</v>
      </c>
      <c r="J7">
        <v>10.199999999999999</v>
      </c>
      <c r="K7">
        <v>14.9</v>
      </c>
      <c r="L7">
        <v>1.2</v>
      </c>
      <c r="M7">
        <f t="shared" si="0"/>
        <v>8.5750000000000011</v>
      </c>
    </row>
    <row r="8" spans="1:13" x14ac:dyDescent="0.25">
      <c r="A8" s="2"/>
      <c r="B8" s="2"/>
      <c r="C8" s="2"/>
      <c r="D8" s="2"/>
      <c r="E8" s="2"/>
      <c r="F8" s="2"/>
      <c r="I8">
        <f>I6-I7</f>
        <v>28.61</v>
      </c>
      <c r="J8">
        <f t="shared" ref="J8:L8" si="5">J6-J7</f>
        <v>-5.6499999999999986</v>
      </c>
      <c r="K8">
        <f t="shared" si="5"/>
        <v>-30.36</v>
      </c>
      <c r="L8">
        <f t="shared" si="5"/>
        <v>10.69</v>
      </c>
      <c r="M8">
        <f t="shared" si="0"/>
        <v>0.82250000000000023</v>
      </c>
    </row>
    <row r="9" spans="1:13" s="1" customFormat="1" x14ac:dyDescent="0.25">
      <c r="A9" s="3" t="s">
        <v>5</v>
      </c>
      <c r="B9" s="3">
        <v>3651909200</v>
      </c>
      <c r="C9" s="3"/>
      <c r="D9" s="3"/>
      <c r="E9" s="3"/>
      <c r="F9" s="3"/>
      <c r="H9" s="1" t="s">
        <v>29</v>
      </c>
      <c r="I9" s="1">
        <v>26.1</v>
      </c>
      <c r="J9" s="1">
        <v>17.899999999999999</v>
      </c>
      <c r="K9" s="1">
        <v>-45</v>
      </c>
      <c r="M9">
        <f t="shared" si="0"/>
        <v>-0.25</v>
      </c>
    </row>
    <row r="10" spans="1:13" x14ac:dyDescent="0.25">
      <c r="A10" s="2" t="s">
        <v>6</v>
      </c>
      <c r="B10" s="2">
        <f>B9*B13</f>
        <v>25563364400</v>
      </c>
      <c r="C10" s="2"/>
      <c r="D10" s="2"/>
      <c r="E10" s="2"/>
      <c r="F10" s="2"/>
      <c r="I10">
        <f>I8-I9</f>
        <v>2.509999999999998</v>
      </c>
      <c r="J10">
        <f t="shared" ref="J10:L10" si="6">J8-J9</f>
        <v>-23.549999999999997</v>
      </c>
      <c r="K10">
        <f t="shared" si="6"/>
        <v>14.64</v>
      </c>
      <c r="L10">
        <f t="shared" si="6"/>
        <v>10.69</v>
      </c>
      <c r="M10">
        <f t="shared" si="0"/>
        <v>1.0725000000000002</v>
      </c>
    </row>
    <row r="11" spans="1:13" x14ac:dyDescent="0.25">
      <c r="A11" s="2"/>
      <c r="B11" s="2"/>
      <c r="C11" s="2"/>
      <c r="D11" s="2"/>
      <c r="E11" s="2"/>
      <c r="F11" s="2"/>
    </row>
    <row r="12" spans="1:13" x14ac:dyDescent="0.25">
      <c r="A12" s="2"/>
      <c r="B12" s="2"/>
      <c r="C12" s="2"/>
      <c r="D12" s="2"/>
      <c r="E12" s="2"/>
      <c r="F12" s="2"/>
    </row>
    <row r="13" spans="1:13" x14ac:dyDescent="0.25">
      <c r="A13" s="2" t="s">
        <v>7</v>
      </c>
      <c r="B13" s="2">
        <v>7</v>
      </c>
      <c r="C13" s="2"/>
      <c r="D13" s="2"/>
      <c r="E13" s="2"/>
      <c r="F13" s="2"/>
    </row>
    <row r="14" spans="1:13" x14ac:dyDescent="0.25">
      <c r="A14" s="2"/>
      <c r="B14" s="2"/>
      <c r="C14" s="2"/>
      <c r="D14" s="2"/>
      <c r="E14" s="2"/>
      <c r="F14" s="2"/>
    </row>
    <row r="15" spans="1:13" x14ac:dyDescent="0.25">
      <c r="A15" s="2" t="s">
        <v>9</v>
      </c>
      <c r="B15" s="2"/>
      <c r="C15" s="2"/>
      <c r="D15" s="2"/>
      <c r="E15" s="2"/>
      <c r="F15" s="2"/>
    </row>
    <row r="16" spans="1:13" x14ac:dyDescent="0.25">
      <c r="A16" s="2" t="s">
        <v>10</v>
      </c>
      <c r="B16" s="2">
        <v>0.1</v>
      </c>
      <c r="C16" s="2">
        <v>0.2</v>
      </c>
      <c r="D16" s="2">
        <v>0.3</v>
      </c>
      <c r="E16" s="2">
        <v>0</v>
      </c>
      <c r="F16" s="2"/>
    </row>
    <row r="17" spans="1:6" x14ac:dyDescent="0.25">
      <c r="A17" s="2" t="s">
        <v>11</v>
      </c>
      <c r="B17" s="2">
        <v>58.9</v>
      </c>
      <c r="C17" s="2">
        <v>55.4</v>
      </c>
      <c r="D17" s="2">
        <v>55.5</v>
      </c>
      <c r="E17" s="2">
        <v>65.5</v>
      </c>
      <c r="F17" s="2"/>
    </row>
    <row r="18" spans="1:6" x14ac:dyDescent="0.25">
      <c r="A18" s="2" t="s">
        <v>12</v>
      </c>
      <c r="B18" s="2">
        <v>0</v>
      </c>
      <c r="C18" s="2">
        <v>1.4</v>
      </c>
      <c r="D18" s="2">
        <v>47.1</v>
      </c>
      <c r="E18" s="2">
        <v>51.9</v>
      </c>
      <c r="F18" s="2"/>
    </row>
    <row r="19" spans="1:6" x14ac:dyDescent="0.25">
      <c r="A19" s="2" t="s">
        <v>13</v>
      </c>
      <c r="B19" s="2">
        <v>6.9</v>
      </c>
      <c r="C19" s="2">
        <v>8.6999999999999993</v>
      </c>
      <c r="D19" s="2">
        <v>0</v>
      </c>
      <c r="E19" s="2">
        <v>0</v>
      </c>
      <c r="F19" s="2"/>
    </row>
    <row r="20" spans="1:6" s="1" customFormat="1" x14ac:dyDescent="0.25">
      <c r="A20" s="3" t="s">
        <v>18</v>
      </c>
      <c r="B20" s="3">
        <f>SUM(B16:B19)</f>
        <v>65.900000000000006</v>
      </c>
      <c r="C20" s="3">
        <f t="shared" ref="C20:E20" si="7">SUM(C16:C19)</f>
        <v>65.7</v>
      </c>
      <c r="D20" s="3">
        <f t="shared" si="7"/>
        <v>102.9</v>
      </c>
      <c r="E20" s="3">
        <f t="shared" si="7"/>
        <v>117.4</v>
      </c>
      <c r="F20" s="3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 t="s">
        <v>14</v>
      </c>
      <c r="B22" s="2"/>
      <c r="C22" s="2"/>
      <c r="D22" s="2"/>
      <c r="E22" s="2"/>
      <c r="F22" s="2"/>
    </row>
    <row r="23" spans="1:6" x14ac:dyDescent="0.25">
      <c r="A23" s="2" t="s">
        <v>15</v>
      </c>
      <c r="B23" s="2">
        <v>80.400000000000006</v>
      </c>
      <c r="C23" s="2">
        <v>68.8</v>
      </c>
      <c r="D23" s="2">
        <v>70.7</v>
      </c>
      <c r="E23" s="2">
        <v>81.2</v>
      </c>
      <c r="F23" s="2"/>
    </row>
    <row r="24" spans="1:6" x14ac:dyDescent="0.25">
      <c r="A24" s="2" t="s">
        <v>16</v>
      </c>
      <c r="B24" s="2">
        <v>80.5</v>
      </c>
      <c r="C24" s="2">
        <v>65.2</v>
      </c>
      <c r="D24" s="2">
        <v>87.6</v>
      </c>
      <c r="E24" s="2">
        <v>140</v>
      </c>
      <c r="F24" s="2"/>
    </row>
    <row r="25" spans="1:6" x14ac:dyDescent="0.25">
      <c r="A25" s="2" t="s">
        <v>17</v>
      </c>
      <c r="B25" s="2">
        <v>8.5</v>
      </c>
      <c r="C25" s="2">
        <v>9.1</v>
      </c>
      <c r="D25" s="2">
        <v>4.0999999999999996</v>
      </c>
      <c r="E25" s="2">
        <v>0.7</v>
      </c>
      <c r="F25" s="2"/>
    </row>
    <row r="26" spans="1:6" s="1" customFormat="1" x14ac:dyDescent="0.25">
      <c r="A26" s="3" t="s">
        <v>18</v>
      </c>
      <c r="B26" s="3">
        <f>SUM(B23:B25)</f>
        <v>169.4</v>
      </c>
      <c r="C26" s="3">
        <f t="shared" ref="C26:E26" si="8">SUM(C23:C25)</f>
        <v>143.1</v>
      </c>
      <c r="D26" s="3">
        <f t="shared" si="8"/>
        <v>162.4</v>
      </c>
      <c r="E26" s="3">
        <f t="shared" si="8"/>
        <v>221.89999999999998</v>
      </c>
      <c r="F26" s="3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 t="s">
        <v>19</v>
      </c>
      <c r="B28" s="2">
        <f>B26-B20</f>
        <v>103.5</v>
      </c>
      <c r="C28" s="2">
        <f t="shared" ref="C28:E28" si="9">C26-C20</f>
        <v>77.399999999999991</v>
      </c>
      <c r="D28" s="2">
        <f t="shared" si="9"/>
        <v>59.5</v>
      </c>
      <c r="E28" s="2">
        <f t="shared" si="9"/>
        <v>104.49999999999997</v>
      </c>
      <c r="F28" s="2"/>
    </row>
    <row r="29" spans="1:6" x14ac:dyDescent="0.25">
      <c r="A29" s="2"/>
      <c r="B29" s="2">
        <f>B28-C28</f>
        <v>26.100000000000009</v>
      </c>
      <c r="C29" s="2">
        <f>C28-D28</f>
        <v>17.899999999999991</v>
      </c>
      <c r="D29" s="2">
        <f>D28-E28</f>
        <v>-44.999999999999972</v>
      </c>
      <c r="E29" s="2"/>
      <c r="F29" s="2"/>
    </row>
    <row r="30" spans="1:6" x14ac:dyDescent="0.25">
      <c r="A30" s="2" t="s">
        <v>20</v>
      </c>
      <c r="B30" s="2"/>
      <c r="C30" s="2"/>
      <c r="D30" s="2"/>
      <c r="E30" s="2"/>
      <c r="F30" s="2"/>
    </row>
    <row r="31" spans="1:6" x14ac:dyDescent="0.25">
      <c r="A31" s="2" t="s">
        <v>21</v>
      </c>
      <c r="B31" s="2">
        <v>18.899999999999999</v>
      </c>
      <c r="C31" s="2">
        <v>24.5</v>
      </c>
      <c r="D31" s="2">
        <v>0</v>
      </c>
      <c r="E31" s="2">
        <v>0</v>
      </c>
      <c r="F31" s="2"/>
    </row>
    <row r="32" spans="1:6" x14ac:dyDescent="0.25">
      <c r="A32" s="2" t="s">
        <v>22</v>
      </c>
      <c r="B32" s="2">
        <v>0.1</v>
      </c>
      <c r="C32" s="2">
        <v>0.2</v>
      </c>
      <c r="D32" s="2">
        <v>0.4</v>
      </c>
      <c r="E32" s="2">
        <v>0</v>
      </c>
      <c r="F32" s="2"/>
    </row>
    <row r="33" spans="1:6" x14ac:dyDescent="0.25">
      <c r="A33" s="2" t="s">
        <v>23</v>
      </c>
      <c r="B33" s="2">
        <v>0</v>
      </c>
      <c r="C33" s="2">
        <v>0</v>
      </c>
      <c r="D33" s="2">
        <v>0</v>
      </c>
      <c r="E33" s="2">
        <v>2.2000000000000002</v>
      </c>
      <c r="F33" s="2"/>
    </row>
    <row r="34" spans="1:6" s="1" customFormat="1" x14ac:dyDescent="0.25">
      <c r="A34" s="3" t="s">
        <v>18</v>
      </c>
      <c r="B34" s="3">
        <f>SUM(B31:B33)</f>
        <v>19</v>
      </c>
      <c r="C34" s="3">
        <f t="shared" ref="C34:E34" si="10">SUM(C31:C33)</f>
        <v>24.7</v>
      </c>
      <c r="D34" s="3">
        <f t="shared" si="10"/>
        <v>0.4</v>
      </c>
      <c r="E34" s="3">
        <f t="shared" si="10"/>
        <v>2.2000000000000002</v>
      </c>
      <c r="F34" s="3"/>
    </row>
    <row r="35" spans="1:6" x14ac:dyDescent="0.25">
      <c r="A35" s="2"/>
      <c r="B35" s="2"/>
      <c r="C35" s="2"/>
      <c r="D35" s="2"/>
      <c r="E35" s="2"/>
      <c r="F3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2022-08-17T17:33:34Z</dcterms:created>
  <dcterms:modified xsi:type="dcterms:W3CDTF">2022-08-19T04:52:35Z</dcterms:modified>
</cp:coreProperties>
</file>